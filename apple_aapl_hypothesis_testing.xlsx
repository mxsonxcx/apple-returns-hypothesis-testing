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sktop\statistical-testing\"/>
    </mc:Choice>
  </mc:AlternateContent>
  <xr:revisionPtr revIDLastSave="0" documentId="8_{2E9FD0C1-17D9-410B-B2F7-75B06A55E7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ject" sheetId="3" r:id="rId1"/>
    <sheet name="Data" sheetId="2" r:id="rId2"/>
  </sheets>
  <definedNames>
    <definedName name="ExternalData_1" localSheetId="1" hidden="1">Data!$A$2:$F$252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H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F3" i="3"/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4" i="2"/>
  <c r="A2" i="3" s="1"/>
  <c r="B2" i="3" s="1"/>
  <c r="F7" i="3" s="1"/>
  <c r="F8" i="3" s="1"/>
  <c r="G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20E72-D17A-4F1D-98A9-0460DAF93582}" keepAlive="1" name="Zapytanie — aapl_us_d" description="Połączenie z zapytaniem „aapl_us_d” w skoroszycie." type="5" refreshedVersion="8" background="1" saveData="1">
    <dbPr connection="Provider=Microsoft.Mashup.OleDb.1;Data Source=$Workbook$;Location=aapl_us_d;Extended Properties=&quot;&quot;" command="SELECT * FROM [aapl_us_d]"/>
  </connection>
</connections>
</file>

<file path=xl/sharedStrings.xml><?xml version="1.0" encoding="utf-8"?>
<sst xmlns="http://schemas.openxmlformats.org/spreadsheetml/2006/main" count="74" uniqueCount="63">
  <si>
    <t>275</t>
  </si>
  <si>
    <t>277</t>
  </si>
  <si>
    <t>279</t>
  </si>
  <si>
    <t>283</t>
  </si>
  <si>
    <t>=</t>
  </si>
  <si>
    <t>&gt;</t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</si>
  <si>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  <r>
      <rPr>
        <b/>
        <sz val="11"/>
        <color theme="1"/>
        <rFont val="Calibri"/>
        <family val="2"/>
        <charset val="238"/>
        <scheme val="minor"/>
      </rPr>
      <t>:</t>
    </r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</si>
  <si>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>:</t>
    </r>
  </si>
  <si>
    <t>p-value =</t>
  </si>
  <si>
    <r>
      <t>T</t>
    </r>
    <r>
      <rPr>
        <b/>
        <vertAlign val="subscript"/>
        <sz val="11"/>
        <color theme="1"/>
        <rFont val="Calibri"/>
        <family val="2"/>
        <charset val="238"/>
        <scheme val="minor"/>
      </rPr>
      <t>e</t>
    </r>
    <r>
      <rPr>
        <b/>
        <sz val="11"/>
        <color theme="1"/>
        <rFont val="Calibri"/>
        <family val="2"/>
        <charset val="238"/>
        <scheme val="minor"/>
      </rPr>
      <t xml:space="preserve"> =</t>
    </r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</si>
  <si>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  <r>
      <rPr>
        <b/>
        <sz val="11"/>
        <color theme="1"/>
        <rFont val="Calibri"/>
        <family val="2"/>
        <charset val="238"/>
        <scheme val="minor"/>
      </rPr>
      <t>: μ = 0,0005</t>
    </r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</si>
  <si>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>: μ &gt; 0,0005</t>
    </r>
  </si>
  <si>
    <t xml:space="preserve"> </t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</si>
  <si>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  <r>
      <rPr>
        <b/>
        <sz val="11"/>
        <color theme="1"/>
        <rFont val="Calibri"/>
        <family val="2"/>
        <charset val="238"/>
        <scheme val="minor"/>
      </rPr>
      <t>: σ = 0,025</t>
    </r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</si>
  <si>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>: σ &lt; 0,025</t>
    </r>
  </si>
  <si>
    <t>(★★★)</t>
  </si>
  <si>
    <t>(0)</t>
  </si>
  <si>
    <t>p</t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</si>
  <si>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  <r>
      <rPr>
        <b/>
        <sz val="11"/>
        <color theme="1"/>
        <rFont val="Calibri"/>
        <family val="2"/>
        <charset val="238"/>
        <scheme val="minor"/>
      </rPr>
      <t>: p = 0,45</t>
    </r>
  </si>
  <si>
    <r>
      <t>H</t>
    </r>
    <r>
      <rPr>
        <b/>
        <vertAlign val="subscript"/>
        <sz val="11"/>
        <color theme="1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>: p &gt; 0,45</t>
    </r>
  </si>
  <si>
    <t>(★★)</t>
  </si>
  <si>
    <t>Daily stock quotes of Apple Inc. (AAPL), period 01.01.2025–31.12.2025, downloaded from stooq.com in CSV format.</t>
  </si>
  <si>
    <t>Date</t>
  </si>
  <si>
    <t>High</t>
  </si>
  <si>
    <t>Low</t>
  </si>
  <si>
    <t>Open</t>
  </si>
  <si>
    <t>Close</t>
  </si>
  <si>
    <t>Volume</t>
  </si>
  <si>
    <t>⭠ No previous closing price available</t>
  </si>
  <si>
    <t>None</t>
  </si>
  <si>
    <t>X - Daily Return [%]</t>
  </si>
  <si>
    <t>Success?</t>
  </si>
  <si>
    <t>Daily Return [%]</t>
  </si>
  <si>
    <t>⭠ Daily Return [%] calculated using the formula</t>
  </si>
  <si>
    <t>STATISTICAL TESTS</t>
  </si>
  <si>
    <t>⭠ The statistical parameter and the direction of the inequality can be selected using a dropdown list.</t>
  </si>
  <si>
    <t>DECISION:</t>
  </si>
  <si>
    <t>SETS OF RESEARCH HYPOTHESES</t>
  </si>
  <si>
    <t>I. FOR μ:</t>
  </si>
  <si>
    <t>QUESTION:</t>
  </si>
  <si>
    <t>PURPOSE:</t>
  </si>
  <si>
    <t>II. FOR σ:</t>
  </si>
  <si>
    <t>III. FOR p:</t>
  </si>
  <si>
    <t>Is the average daily return of Apple in 2025 greater than 0.05%?</t>
  </si>
  <si>
    <t>An investor expecting a minimum daily return greater than 0.05% wonders whether Apple meets their requirements.</t>
  </si>
  <si>
    <t>⭠ The average daily return equals 0.05%.</t>
  </si>
  <si>
    <t>⭠ The average daily return is greater than 0.05%.</t>
  </si>
  <si>
    <t>No grounds to reject H₀ at any reasonable α.</t>
  </si>
  <si>
    <t>The investor cannot assume that the return will exceed the minimum required threshold.</t>
  </si>
  <si>
    <t>Is the daily standard deviation of Apple's returns in 2025 less than 2.5%?</t>
  </si>
  <si>
    <t>The investor wants low volatility and sets 2.5% as their maximum acceptable daily standard deviation.</t>
  </si>
  <si>
    <t>⭠ The daily standard deviation of returns equals 2.5%.</t>
  </si>
  <si>
    <t>⭠ The daily standard deviation of returns is greater than 2.5%.</t>
  </si>
  <si>
    <t>Reject H₀ and accept H₁ at every reasonable α.</t>
  </si>
  <si>
    <t>No grounds to reject the hypothesis that the average daily return equals 0.05%.</t>
  </si>
  <si>
    <t>Based on the data, the standard deviation of Apple's daily returns is significantly less than 2.5% (p-value &lt; 0.01), suggesting the investment falls within the investor's acceptable risk tolerance.</t>
  </si>
  <si>
    <t>A "success" is defined as a day with a positive daily return for Apple.</t>
  </si>
  <si>
    <t>In 2025, was Apple's daily return positive on more than 45% of trading days in the sample?</t>
  </si>
  <si>
    <t xml:space="preserve"> The investor wants to verify whether positive-return days occur more frequently than 45% of all days in the sample, in order to assess the likelihood of a positive return.</t>
  </si>
  <si>
    <t>⭠ The daily return was positive on 45% of days in the sample.</t>
  </si>
  <si>
    <t>⭠ The daily return was positive on more than 45% of days in the sample.</t>
  </si>
  <si>
    <t>Weak suggestion: reject H₀.</t>
  </si>
  <si>
    <t>Moderate evidence to reject H₀ suggests that positive-return days occur more frequently than 45% of all days in the sample, which aligns with the investor's objective.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</si>
</sst>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  <font>
      <sz val="11"/>
      <color rgb="FF101418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38"/>
      <scheme val="major"/>
    </font>
    <font>
      <b/>
      <sz val="18"/>
      <color theme="3"/>
      <name val="Calibri Light"/>
      <family val="2"/>
      <charset val="238"/>
      <scheme val="major"/>
    </font>
    <font>
      <b/>
      <sz val="11"/>
      <color theme="3"/>
      <name val="Calibri Light"/>
      <family val="2"/>
      <charset val="238"/>
      <scheme val="major"/>
    </font>
    <font>
      <b/>
      <sz val="12"/>
      <color theme="3"/>
      <name val="Calibri Light"/>
      <family val="2"/>
      <charset val="238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0" fontId="0" fillId="0" borderId="0" xfId="0" applyNumberFormat="1" applyAlignment="1">
      <alignment horizontal="center"/>
    </xf>
    <xf numFmtId="10" fontId="1" fillId="0" borderId="0" xfId="1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0" fillId="0" borderId="1" xfId="2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0" borderId="0" xfId="3" applyFont="1" applyAlignment="1">
      <alignment horizontal="center"/>
    </xf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2" applyNumberFormat="1" applyFont="1" applyFill="1" applyBorder="1" applyAlignment="1">
      <alignment horizontal="center"/>
    </xf>
    <xf numFmtId="0" fontId="8" fillId="0" borderId="0" xfId="3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4">
    <cellStyle name="Dziesiętny" xfId="2" builtinId="3"/>
    <cellStyle name="Nagłówek 4" xfId="1" builtinId="19"/>
    <cellStyle name="Normalny" xfId="0" builtinId="0"/>
    <cellStyle name="Tytuł" xfId="3" builtinId="15"/>
  </cellStyles>
  <dxfs count="6"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457326</xdr:colOff>
      <xdr:row>0</xdr:row>
      <xdr:rowOff>163074</xdr:rowOff>
    </xdr:from>
    <xdr:ext cx="936923" cy="3453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FD43C373-50F2-36EF-9C85-BF37A7AE706C}"/>
                </a:ext>
              </a:extLst>
            </xdr:cNvPr>
            <xdr:cNvSpPr txBox="1"/>
          </xdr:nvSpPr>
          <xdr:spPr>
            <a:xfrm>
              <a:off x="9220326" y="163074"/>
              <a:ext cx="936923" cy="3453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𝑷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</m:sub>
                        </m:s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𝑷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𝑷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b="1"/>
            </a:p>
          </xdr:txBody>
        </xdr:sp>
      </mc:Choice>
      <mc:Fallback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FD43C373-50F2-36EF-9C85-BF37A7AE706C}"/>
                </a:ext>
              </a:extLst>
            </xdr:cNvPr>
            <xdr:cNvSpPr txBox="1"/>
          </xdr:nvSpPr>
          <xdr:spPr>
            <a:xfrm>
              <a:off x="9220326" y="163074"/>
              <a:ext cx="936923" cy="3453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𝒓_𝒕=(𝑷_𝒕−𝑷_(𝒕−𝟏))/𝑷_(𝒕−𝟏) </a:t>
              </a:r>
              <a:endParaRPr lang="en-US" sz="1100" b="1"/>
            </a:p>
          </xdr:txBody>
        </xdr:sp>
      </mc:Fallback>
    </mc:AlternateContent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E9B897-5092-49A9-9C1E-FE2F0C10F34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a" tableColumnId="1"/>
      <queryTableField id="2" name="Otwarcie" tableColumnId="2"/>
      <queryTableField id="3" name="Najwyzszy" tableColumnId="3"/>
      <queryTableField id="4" name="Najnizszy" tableColumnId="4"/>
      <queryTableField id="5" name="Zamkniecie" tableColumnId="5"/>
      <queryTableField id="6" name="Wolume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36E7C-CBC8-4544-A3DC-E6E98EADD13D}" name="aapl_us_d" displayName="aapl_us_d" ref="A2:G252" tableType="queryTable" totalsRowShown="0">
  <autoFilter ref="A2:G252" xr:uid="{25936E7C-CBC8-4544-A3DC-E6E98EADD13D}"/>
  <tableColumns count="7">
    <tableColumn id="1" xr3:uid="{28D289BF-7054-4634-A873-7D93052AD7CA}" uniqueName="1" name="Date" queryTableFieldId="1" dataDxfId="5"/>
    <tableColumn id="2" xr3:uid="{345F00DD-8686-40DC-8553-D15B6CA84A91}" uniqueName="2" name="Open" queryTableFieldId="2" dataDxfId="4"/>
    <tableColumn id="3" xr3:uid="{BF2CC36D-F2E3-4EA7-84E8-54F6986BBE8B}" uniqueName="3" name="High" queryTableFieldId="3" dataDxfId="3"/>
    <tableColumn id="4" xr3:uid="{1B0E79C2-1E9A-49F2-AE4E-F586BF051FDB}" uniqueName="4" name="Low" queryTableFieldId="4" dataDxfId="2"/>
    <tableColumn id="5" xr3:uid="{5DE9655E-2A61-4496-B79F-A117E0A6DB3E}" uniqueName="5" name="Close" queryTableFieldId="5" dataDxfId="1"/>
    <tableColumn id="6" xr3:uid="{07C74761-3063-48AB-9E7D-B642BB9018AE}" uniqueName="6" name="Volume" queryTableFieldId="6"/>
    <tableColumn id="7" xr3:uid="{16D58501-FCA7-4A4C-A458-4814464B5B46}" uniqueName="7" name="Daily Return [%]" queryTableFieldId="7" dataDxfId="0">
      <calculatedColumnFormula>((E4-E3)/E3)*100%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A79A-E849-4027-BA4E-311D900F178D}">
  <dimension ref="A1:N250"/>
  <sheetViews>
    <sheetView zoomScale="85" zoomScaleNormal="85" workbookViewId="0">
      <selection activeCell="F40" sqref="F40"/>
    </sheetView>
  </sheetViews>
  <sheetFormatPr defaultRowHeight="15" x14ac:dyDescent="0.25"/>
  <cols>
    <col min="1" max="1" width="26.85546875" style="9" bestFit="1" customWidth="1"/>
    <col min="4" max="4" width="9.85546875" customWidth="1"/>
    <col min="5" max="5" width="10.85546875" customWidth="1"/>
    <col min="6" max="6" width="14.28515625" customWidth="1"/>
    <col min="8" max="8" width="21.28515625" customWidth="1"/>
  </cols>
  <sheetData>
    <row r="1" spans="1:14" ht="23.25" x14ac:dyDescent="0.35">
      <c r="A1" s="10" t="s">
        <v>30</v>
      </c>
      <c r="B1" s="17" t="s">
        <v>31</v>
      </c>
      <c r="E1" s="22" t="s">
        <v>34</v>
      </c>
      <c r="F1" s="22"/>
      <c r="G1" s="22"/>
      <c r="H1" s="22"/>
    </row>
    <row r="2" spans="1:14" x14ac:dyDescent="0.25">
      <c r="A2" s="9">
        <f>Data!G4</f>
        <v>-2.0061626680728611E-3</v>
      </c>
      <c r="B2" s="7">
        <f>IF(A2&gt;0,1,0)</f>
        <v>0</v>
      </c>
    </row>
    <row r="3" spans="1:14" ht="18" x14ac:dyDescent="0.35">
      <c r="A3" s="9">
        <f>Data!G5</f>
        <v>6.7364249891647783E-3</v>
      </c>
      <c r="B3" s="7">
        <f t="shared" ref="B3:B66" si="0">IF(A3&gt;0,1,0)</f>
        <v>1</v>
      </c>
      <c r="E3" s="12" t="s">
        <v>6</v>
      </c>
      <c r="F3" s="11" t="str">
        <f>F4</f>
        <v>p</v>
      </c>
      <c r="G3" s="12" t="s">
        <v>4</v>
      </c>
      <c r="H3" s="14">
        <f>H4</f>
        <v>0.45</v>
      </c>
    </row>
    <row r="4" spans="1:14" ht="18" x14ac:dyDescent="0.35">
      <c r="A4" s="9">
        <f>Data!G6</f>
        <v>-1.1390053998204126E-2</v>
      </c>
      <c r="B4" s="7">
        <f t="shared" si="0"/>
        <v>0</v>
      </c>
      <c r="E4" s="12" t="s">
        <v>7</v>
      </c>
      <c r="F4" s="19" t="s">
        <v>17</v>
      </c>
      <c r="G4" s="20" t="s">
        <v>5</v>
      </c>
      <c r="H4" s="21">
        <v>0.45</v>
      </c>
      <c r="I4" s="5" t="s">
        <v>35</v>
      </c>
    </row>
    <row r="5" spans="1:14" x14ac:dyDescent="0.25">
      <c r="A5" s="9">
        <f>Data!G7</f>
        <v>2.028044243713703E-3</v>
      </c>
      <c r="B5" s="7">
        <f t="shared" si="0"/>
        <v>1</v>
      </c>
    </row>
    <row r="6" spans="1:14" x14ac:dyDescent="0.25">
      <c r="A6" s="9">
        <f>Data!G8</f>
        <v>-2.4109301016522703E-2</v>
      </c>
      <c r="B6" s="7">
        <f t="shared" si="0"/>
        <v>0</v>
      </c>
      <c r="E6" s="13"/>
    </row>
    <row r="7" spans="1:14" ht="18" x14ac:dyDescent="0.35">
      <c r="A7" s="9">
        <f>Data!G9</f>
        <v>-1.0340016031690106E-2</v>
      </c>
      <c r="B7" s="7">
        <f t="shared" si="0"/>
        <v>0</v>
      </c>
      <c r="E7" s="16" t="s">
        <v>9</v>
      </c>
      <c r="F7">
        <f>IF(F4="μ",(AVERAGE(A:A)-H4)/_xlfn.STDEV.P(A:A)*COUNT(A:A)*0.5,IF(F4="σ",(2*COUNT(A:A)*_xlfn.VAR.P(A:A)/H4^2)^0.5-(2*COUNT(A:A)-3)^0.5,(SUM(B:B)/COUNT(A:A)-H4)/(H4*(1-H4))^0.5*COUNT(A:A)^0.5))</f>
        <v>2.4139148092885909</v>
      </c>
    </row>
    <row r="8" spans="1:14" x14ac:dyDescent="0.25">
      <c r="A8" s="9">
        <f>Data!G10</f>
        <v>-4.77833251194587E-3</v>
      </c>
      <c r="B8" s="7">
        <f t="shared" si="0"/>
        <v>0</v>
      </c>
      <c r="E8" s="16" t="s">
        <v>8</v>
      </c>
      <c r="F8">
        <f>IF(G4="&gt;",1-_xlfn.NORM.DIST(F7,0,1,1),IF(G4="&lt;",_xlfn.NORM.DIST(F7,0,1,1),2*(1-_xlfn.NORM.DIST(ABS(F7),0,1,1))))</f>
        <v>7.8910759580156364E-3</v>
      </c>
      <c r="G8" s="15" t="str">
        <f>IF(F8&gt;=0.05,"(0)",IF(F8&gt;=0.01,"(★)",IF(F8&gt;=0.001,"(★★)","(★★★)")))</f>
        <v>(★★)</v>
      </c>
    </row>
    <row r="9" spans="1:14" x14ac:dyDescent="0.25">
      <c r="A9" s="9">
        <f>Data!G11</f>
        <v>1.9674460663996973E-2</v>
      </c>
      <c r="B9" s="7">
        <f t="shared" si="0"/>
        <v>1</v>
      </c>
    </row>
    <row r="10" spans="1:14" x14ac:dyDescent="0.25">
      <c r="A10" s="9">
        <f>Data!G12</f>
        <v>-4.0401353046254446E-2</v>
      </c>
      <c r="B10" s="7">
        <f t="shared" si="0"/>
        <v>0</v>
      </c>
      <c r="E10" s="16" t="s">
        <v>36</v>
      </c>
      <c r="F10" t="str">
        <f>IF(G8="(0)","No grounds to reject H₀ at any reasonable significance level α.",IF(G8="(★)","Weak suggestion: reject H₀.",IF(G8="(★★)","Weak suggestion: reject H₀.","Reject H₀ and accept H₁ at every reasonable significance level α.")))</f>
        <v>Weak suggestion: reject H₀.</v>
      </c>
    </row>
    <row r="11" spans="1:14" x14ac:dyDescent="0.25">
      <c r="A11" s="9">
        <f>Data!G13</f>
        <v>7.5341501197014023E-3</v>
      </c>
      <c r="B11" s="7">
        <f t="shared" si="0"/>
        <v>1</v>
      </c>
    </row>
    <row r="12" spans="1:14" x14ac:dyDescent="0.25">
      <c r="A12" s="9">
        <f>Data!G14</f>
        <v>-3.1916101754140697E-2</v>
      </c>
      <c r="B12" s="7">
        <f t="shared" si="0"/>
        <v>0</v>
      </c>
    </row>
    <row r="13" spans="1:14" x14ac:dyDescent="0.25">
      <c r="A13" s="9">
        <f>Data!G15</f>
        <v>5.3465802190067642E-3</v>
      </c>
      <c r="B13" s="7">
        <f t="shared" si="0"/>
        <v>1</v>
      </c>
    </row>
    <row r="14" spans="1:14" ht="15.75" x14ac:dyDescent="0.25">
      <c r="A14" s="9">
        <f>Data!G16</f>
        <v>-7.6294082271955159E-4</v>
      </c>
      <c r="B14" s="7">
        <f t="shared" si="0"/>
        <v>0</v>
      </c>
      <c r="D14" s="23" t="s">
        <v>37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x14ac:dyDescent="0.25">
      <c r="A15" s="9">
        <f>Data!G17</f>
        <v>-3.9298995742234524E-3</v>
      </c>
      <c r="B15" s="7">
        <f t="shared" si="0"/>
        <v>0</v>
      </c>
      <c r="D15" s="5" t="s">
        <v>38</v>
      </c>
      <c r="E15" s="16" t="s">
        <v>39</v>
      </c>
      <c r="F15" t="s">
        <v>43</v>
      </c>
    </row>
    <row r="16" spans="1:14" x14ac:dyDescent="0.25">
      <c r="A16" s="9">
        <f>Data!G18</f>
        <v>3.1779670569986977E-2</v>
      </c>
      <c r="B16" s="7">
        <f t="shared" si="0"/>
        <v>1</v>
      </c>
      <c r="E16" s="16" t="s">
        <v>40</v>
      </c>
      <c r="F16" t="s">
        <v>44</v>
      </c>
    </row>
    <row r="17" spans="1:14" ht="18" x14ac:dyDescent="0.35">
      <c r="A17" s="9">
        <f>Data!G19</f>
        <v>3.654320987654331E-2</v>
      </c>
      <c r="B17" s="7">
        <f t="shared" si="0"/>
        <v>1</v>
      </c>
      <c r="F17" s="18" t="s">
        <v>10</v>
      </c>
      <c r="G17" t="s">
        <v>45</v>
      </c>
    </row>
    <row r="18" spans="1:14" ht="18" x14ac:dyDescent="0.35">
      <c r="A18" s="9">
        <f>Data!G20</f>
        <v>4.6166105224991205E-3</v>
      </c>
      <c r="B18" s="7">
        <f t="shared" si="0"/>
        <v>1</v>
      </c>
      <c r="F18" s="18" t="s">
        <v>11</v>
      </c>
      <c r="G18" t="s">
        <v>46</v>
      </c>
    </row>
    <row r="19" spans="1:14" x14ac:dyDescent="0.25">
      <c r="A19" s="9">
        <f>Data!G21</f>
        <v>-7.3945996760141361E-3</v>
      </c>
      <c r="B19" s="7">
        <f t="shared" si="0"/>
        <v>0</v>
      </c>
      <c r="F19" s="16" t="s">
        <v>8</v>
      </c>
      <c r="G19" s="8">
        <v>0.16372999999999999</v>
      </c>
      <c r="H19" s="8" t="s">
        <v>16</v>
      </c>
    </row>
    <row r="20" spans="1:14" x14ac:dyDescent="0.25">
      <c r="A20" s="9">
        <f>Data!G22</f>
        <v>-6.6928800947065716E-3</v>
      </c>
      <c r="B20" s="7">
        <f t="shared" si="0"/>
        <v>0</v>
      </c>
      <c r="E20" s="16" t="s">
        <v>36</v>
      </c>
      <c r="F20" t="s">
        <v>47</v>
      </c>
    </row>
    <row r="21" spans="1:14" x14ac:dyDescent="0.25">
      <c r="A21" s="9">
        <f>Data!G23</f>
        <v>-3.3851628308865789E-2</v>
      </c>
      <c r="B21" s="7">
        <f t="shared" si="0"/>
        <v>0</v>
      </c>
      <c r="F21" t="s">
        <v>48</v>
      </c>
    </row>
    <row r="22" spans="1:14" x14ac:dyDescent="0.25">
      <c r="A22" s="9">
        <f>Data!G24</f>
        <v>2.100148028054839E-2</v>
      </c>
      <c r="B22" s="7">
        <f t="shared" si="0"/>
        <v>1</v>
      </c>
      <c r="D22" s="5"/>
    </row>
    <row r="23" spans="1:14" x14ac:dyDescent="0.25">
      <c r="A23" s="9">
        <f>Data!G25</f>
        <v>-1.4109971478008646E-3</v>
      </c>
      <c r="B23" s="7">
        <f t="shared" si="0"/>
        <v>0</v>
      </c>
      <c r="D23" s="5" t="s">
        <v>41</v>
      </c>
      <c r="E23" s="16" t="s">
        <v>39</v>
      </c>
      <c r="F23" t="s">
        <v>49</v>
      </c>
    </row>
    <row r="24" spans="1:14" x14ac:dyDescent="0.25">
      <c r="A24" s="9">
        <f>Data!G26</f>
        <v>3.2235204646016871E-3</v>
      </c>
      <c r="B24" s="7">
        <f t="shared" si="0"/>
        <v>1</v>
      </c>
      <c r="E24" s="16" t="s">
        <v>40</v>
      </c>
      <c r="F24" t="s">
        <v>50</v>
      </c>
    </row>
    <row r="25" spans="1:14" ht="18" x14ac:dyDescent="0.35">
      <c r="A25" s="9">
        <f>Data!G27</f>
        <v>-2.3969505104018598E-2</v>
      </c>
      <c r="B25" s="7">
        <f t="shared" si="0"/>
        <v>0</v>
      </c>
      <c r="F25" s="18" t="s">
        <v>13</v>
      </c>
      <c r="G25" t="s">
        <v>51</v>
      </c>
    </row>
    <row r="26" spans="1:14" ht="18" x14ac:dyDescent="0.35">
      <c r="A26" s="9">
        <f>Data!G28</f>
        <v>1.1870876635555502E-3</v>
      </c>
      <c r="B26" s="7">
        <f t="shared" si="0"/>
        <v>1</v>
      </c>
      <c r="F26" s="18" t="s">
        <v>14</v>
      </c>
      <c r="G26" t="s">
        <v>52</v>
      </c>
    </row>
    <row r="27" spans="1:14" x14ac:dyDescent="0.25">
      <c r="A27" s="9">
        <f>Data!G29</f>
        <v>2.1831501185680172E-2</v>
      </c>
      <c r="B27" s="7">
        <f t="shared" si="0"/>
        <v>1</v>
      </c>
      <c r="F27" s="16" t="s">
        <v>8</v>
      </c>
      <c r="G27" s="8">
        <v>2.7902243003730682E-5</v>
      </c>
      <c r="H27" s="8" t="s">
        <v>15</v>
      </c>
    </row>
    <row r="28" spans="1:14" x14ac:dyDescent="0.25">
      <c r="A28" s="9">
        <f>Data!G30</f>
        <v>1.8272246114559521E-2</v>
      </c>
      <c r="B28" s="7">
        <f t="shared" si="0"/>
        <v>1</v>
      </c>
      <c r="E28" s="16" t="s">
        <v>36</v>
      </c>
      <c r="F28" t="s">
        <v>53</v>
      </c>
      <c r="N28" t="s">
        <v>12</v>
      </c>
    </row>
    <row r="29" spans="1:14" x14ac:dyDescent="0.25">
      <c r="A29" s="9">
        <f>Data!G31</f>
        <v>1.9676950644531378E-2</v>
      </c>
      <c r="B29" s="7">
        <f t="shared" si="0"/>
        <v>1</v>
      </c>
      <c r="F29" t="s">
        <v>54</v>
      </c>
    </row>
    <row r="30" spans="1:14" x14ac:dyDescent="0.25">
      <c r="A30" s="9">
        <f>Data!G32</f>
        <v>1.2708343719361208E-2</v>
      </c>
      <c r="B30" s="7">
        <f t="shared" si="0"/>
        <v>1</v>
      </c>
      <c r="F30" t="s">
        <v>55</v>
      </c>
    </row>
    <row r="31" spans="1:14" x14ac:dyDescent="0.25">
      <c r="A31" s="9">
        <f>Data!G33</f>
        <v>-5.3329613934616031E-4</v>
      </c>
      <c r="B31" s="7">
        <f t="shared" si="0"/>
        <v>0</v>
      </c>
    </row>
    <row r="32" spans="1:14" x14ac:dyDescent="0.25">
      <c r="A32" s="9">
        <f>Data!G34</f>
        <v>1.6335778227444769E-3</v>
      </c>
      <c r="B32" s="7">
        <f t="shared" si="0"/>
        <v>1</v>
      </c>
      <c r="D32" s="5" t="s">
        <v>42</v>
      </c>
      <c r="E32" t="s">
        <v>56</v>
      </c>
    </row>
    <row r="33" spans="1:14" x14ac:dyDescent="0.25">
      <c r="A33" s="9">
        <f>Data!G35</f>
        <v>3.9256664003114242E-3</v>
      </c>
      <c r="B33" s="7">
        <f t="shared" si="0"/>
        <v>1</v>
      </c>
      <c r="E33" s="16" t="s">
        <v>39</v>
      </c>
      <c r="F33" t="s">
        <v>57</v>
      </c>
    </row>
    <row r="34" spans="1:14" x14ac:dyDescent="0.25">
      <c r="A34" s="9">
        <f>Data!G36</f>
        <v>-1.1428897968513432E-3</v>
      </c>
      <c r="B34" s="7">
        <f t="shared" si="0"/>
        <v>0</v>
      </c>
      <c r="E34" s="16" t="s">
        <v>40</v>
      </c>
      <c r="F34" t="s">
        <v>58</v>
      </c>
    </row>
    <row r="35" spans="1:14" ht="18" x14ac:dyDescent="0.35">
      <c r="A35" s="9">
        <f>Data!G37</f>
        <v>6.6036540764079308E-3</v>
      </c>
      <c r="B35" s="7">
        <f t="shared" si="0"/>
        <v>1</v>
      </c>
      <c r="F35" s="18" t="s">
        <v>18</v>
      </c>
      <c r="G35" t="s">
        <v>59</v>
      </c>
    </row>
    <row r="36" spans="1:14" ht="18" x14ac:dyDescent="0.35">
      <c r="A36" s="9">
        <f>Data!G38</f>
        <v>-5.3586869593107188E-4</v>
      </c>
      <c r="B36" s="7">
        <f t="shared" si="0"/>
        <v>0</v>
      </c>
      <c r="F36" s="18" t="s">
        <v>19</v>
      </c>
      <c r="G36" t="s">
        <v>60</v>
      </c>
    </row>
    <row r="37" spans="1:14" x14ac:dyDescent="0.25">
      <c r="A37" s="9">
        <f>Data!G39</f>
        <v>-2.7035260380914496E-2</v>
      </c>
      <c r="B37" s="7">
        <f t="shared" si="0"/>
        <v>0</v>
      </c>
      <c r="F37" s="16" t="s">
        <v>8</v>
      </c>
      <c r="G37" s="8">
        <v>7.8910759580156364E-3</v>
      </c>
      <c r="H37" s="8" t="s">
        <v>20</v>
      </c>
      <c r="N37" t="s">
        <v>12</v>
      </c>
    </row>
    <row r="38" spans="1:14" x14ac:dyDescent="0.25">
      <c r="A38" s="9">
        <f>Data!G40</f>
        <v>-1.2732684592616643E-2</v>
      </c>
      <c r="B38" s="7">
        <f t="shared" si="0"/>
        <v>0</v>
      </c>
      <c r="E38" s="16" t="s">
        <v>36</v>
      </c>
      <c r="F38" t="s">
        <v>61</v>
      </c>
    </row>
    <row r="39" spans="1:14" x14ac:dyDescent="0.25">
      <c r="A39" s="9">
        <f>Data!G41</f>
        <v>1.9129692039020395E-2</v>
      </c>
      <c r="B39" s="7">
        <f t="shared" si="0"/>
        <v>1</v>
      </c>
      <c r="F39" t="s">
        <v>62</v>
      </c>
    </row>
    <row r="40" spans="1:14" x14ac:dyDescent="0.25">
      <c r="A40" s="9">
        <f>Data!G42</f>
        <v>-1.5750057050391023E-2</v>
      </c>
      <c r="B40" s="7">
        <f t="shared" si="0"/>
        <v>0</v>
      </c>
    </row>
    <row r="41" spans="1:14" x14ac:dyDescent="0.25">
      <c r="A41" s="9">
        <f>Data!G43</f>
        <v>-8.8230706646600376E-3</v>
      </c>
      <c r="B41" s="7">
        <f t="shared" si="0"/>
        <v>0</v>
      </c>
    </row>
    <row r="42" spans="1:14" x14ac:dyDescent="0.25">
      <c r="A42" s="9">
        <f>Data!G44</f>
        <v>-8.080773712817711E-4</v>
      </c>
      <c r="B42" s="7">
        <f t="shared" si="0"/>
        <v>0</v>
      </c>
    </row>
    <row r="43" spans="1:14" x14ac:dyDescent="0.25">
      <c r="A43" s="9">
        <f>Data!G45</f>
        <v>-1.7323866925461006E-3</v>
      </c>
      <c r="B43" s="7">
        <f t="shared" si="0"/>
        <v>0</v>
      </c>
    </row>
    <row r="44" spans="1:14" x14ac:dyDescent="0.25">
      <c r="A44" s="9">
        <f>Data!G46</f>
        <v>1.5887161076028975E-2</v>
      </c>
      <c r="B44" s="7">
        <f t="shared" si="0"/>
        <v>1</v>
      </c>
    </row>
    <row r="45" spans="1:14" x14ac:dyDescent="0.25">
      <c r="A45" s="9">
        <f>Data!G47</f>
        <v>-4.8481668800234995E-2</v>
      </c>
      <c r="B45" s="7">
        <f t="shared" si="0"/>
        <v>0</v>
      </c>
    </row>
    <row r="46" spans="1:14" x14ac:dyDescent="0.25">
      <c r="A46" s="9">
        <f>Data!G48</f>
        <v>-2.9183428611758124E-2</v>
      </c>
      <c r="B46" s="7">
        <f t="shared" si="0"/>
        <v>0</v>
      </c>
    </row>
    <row r="47" spans="1:14" x14ac:dyDescent="0.25">
      <c r="A47" s="9">
        <f>Data!G49</f>
        <v>-1.7483915524699141E-2</v>
      </c>
      <c r="B47" s="7">
        <f t="shared" si="0"/>
        <v>0</v>
      </c>
    </row>
    <row r="48" spans="1:14" x14ac:dyDescent="0.25">
      <c r="A48" s="9">
        <f>Data!G50</f>
        <v>-3.3643174250832436E-2</v>
      </c>
      <c r="B48" s="7">
        <f t="shared" si="0"/>
        <v>0</v>
      </c>
    </row>
    <row r="49" spans="1:2" x14ac:dyDescent="0.25">
      <c r="A49" s="9">
        <f>Data!G51</f>
        <v>1.8170507022707137E-2</v>
      </c>
      <c r="B49" s="7">
        <f t="shared" si="0"/>
        <v>1</v>
      </c>
    </row>
    <row r="50" spans="1:2" x14ac:dyDescent="0.25">
      <c r="A50" s="9">
        <f>Data!G52</f>
        <v>2.3923444976075904E-3</v>
      </c>
      <c r="B50" s="7">
        <f t="shared" si="0"/>
        <v>1</v>
      </c>
    </row>
    <row r="51" spans="1:2" x14ac:dyDescent="0.25">
      <c r="A51" s="9">
        <f>Data!G53</f>
        <v>-6.1236642581503501E-3</v>
      </c>
      <c r="B51" s="7">
        <f t="shared" si="0"/>
        <v>0</v>
      </c>
    </row>
    <row r="52" spans="1:2" x14ac:dyDescent="0.25">
      <c r="A52" s="9">
        <f>Data!G54</f>
        <v>1.198782817918051E-2</v>
      </c>
      <c r="B52" s="7">
        <f t="shared" si="0"/>
        <v>1</v>
      </c>
    </row>
    <row r="53" spans="1:2" x14ac:dyDescent="0.25">
      <c r="A53" s="9">
        <f>Data!G55</f>
        <v>-5.2912272850176257E-3</v>
      </c>
      <c r="B53" s="7">
        <f t="shared" si="0"/>
        <v>0</v>
      </c>
    </row>
    <row r="54" spans="1:2" x14ac:dyDescent="0.25">
      <c r="A54" s="9">
        <f>Data!G56</f>
        <v>1.9473124276494936E-2</v>
      </c>
      <c r="B54" s="7">
        <f t="shared" si="0"/>
        <v>1</v>
      </c>
    </row>
    <row r="55" spans="1:2" x14ac:dyDescent="0.25">
      <c r="A55" s="9">
        <f>Data!G57</f>
        <v>1.1272215735130504E-2</v>
      </c>
      <c r="B55" s="7">
        <f t="shared" si="0"/>
        <v>1</v>
      </c>
    </row>
    <row r="56" spans="1:2" x14ac:dyDescent="0.25">
      <c r="A56" s="9">
        <f>Data!G58</f>
        <v>1.3683186500468186E-2</v>
      </c>
      <c r="B56" s="7">
        <f t="shared" si="0"/>
        <v>1</v>
      </c>
    </row>
    <row r="57" spans="1:2" x14ac:dyDescent="0.25">
      <c r="A57" s="9">
        <f>Data!G59</f>
        <v>-9.9243008592390346E-3</v>
      </c>
      <c r="B57" s="7">
        <f t="shared" si="0"/>
        <v>0</v>
      </c>
    </row>
    <row r="58" spans="1:2" x14ac:dyDescent="0.25">
      <c r="A58" s="9">
        <f>Data!G60</f>
        <v>1.0476729702185428E-2</v>
      </c>
      <c r="B58" s="7">
        <f t="shared" si="0"/>
        <v>1</v>
      </c>
    </row>
    <row r="59" spans="1:2" x14ac:dyDescent="0.25">
      <c r="A59" s="9">
        <f>Data!G61</f>
        <v>-2.658592125080678E-2</v>
      </c>
      <c r="B59" s="7">
        <f t="shared" si="0"/>
        <v>0</v>
      </c>
    </row>
    <row r="60" spans="1:2" x14ac:dyDescent="0.25">
      <c r="A60" s="9">
        <f>Data!G62</f>
        <v>1.9414524975017982E-2</v>
      </c>
      <c r="B60" s="7">
        <f t="shared" si="0"/>
        <v>1</v>
      </c>
    </row>
    <row r="61" spans="1:2" x14ac:dyDescent="0.25">
      <c r="A61" s="9">
        <f>Data!G63</f>
        <v>4.7702294317735752E-3</v>
      </c>
      <c r="B61" s="7">
        <f t="shared" si="0"/>
        <v>1</v>
      </c>
    </row>
    <row r="62" spans="1:2" x14ac:dyDescent="0.25">
      <c r="A62" s="9">
        <f>Data!G64</f>
        <v>3.1425758331871468E-3</v>
      </c>
      <c r="B62" s="7">
        <f t="shared" si="0"/>
        <v>1</v>
      </c>
    </row>
    <row r="63" spans="1:2" x14ac:dyDescent="0.25">
      <c r="A63" s="9">
        <f>Data!G65</f>
        <v>-9.24581406188376E-2</v>
      </c>
      <c r="B63" s="7">
        <f t="shared" si="0"/>
        <v>0</v>
      </c>
    </row>
    <row r="64" spans="1:2" x14ac:dyDescent="0.25">
      <c r="A64" s="9">
        <f>Data!G66</f>
        <v>-7.288960878625958E-2</v>
      </c>
      <c r="B64" s="7">
        <f t="shared" si="0"/>
        <v>0</v>
      </c>
    </row>
    <row r="65" spans="1:2" x14ac:dyDescent="0.25">
      <c r="A65" s="9">
        <f>Data!G67</f>
        <v>-3.673204146203745E-2</v>
      </c>
      <c r="B65" s="7">
        <f t="shared" si="0"/>
        <v>0</v>
      </c>
    </row>
    <row r="66" spans="1:2" x14ac:dyDescent="0.25">
      <c r="A66" s="9">
        <f>Data!G68</f>
        <v>-4.9822496986319652E-2</v>
      </c>
      <c r="B66" s="7">
        <f t="shared" si="0"/>
        <v>0</v>
      </c>
    </row>
    <row r="67" spans="1:2" x14ac:dyDescent="0.25">
      <c r="A67" s="9">
        <f>Data!G69</f>
        <v>0.15329507891428842</v>
      </c>
      <c r="B67" s="7">
        <f t="shared" ref="B67:B130" si="1">IF(A67&gt;0,1,0)</f>
        <v>1</v>
      </c>
    </row>
    <row r="68" spans="1:2" x14ac:dyDescent="0.25">
      <c r="A68" s="9">
        <f>Data!G70</f>
        <v>-4.2397299329373909E-2</v>
      </c>
      <c r="B68" s="7">
        <f t="shared" si="1"/>
        <v>0</v>
      </c>
    </row>
    <row r="69" spans="1:2" x14ac:dyDescent="0.25">
      <c r="A69" s="9">
        <f>Data!G71</f>
        <v>4.0596297642948649E-2</v>
      </c>
      <c r="B69" s="7">
        <f t="shared" si="1"/>
        <v>1</v>
      </c>
    </row>
    <row r="70" spans="1:2" x14ac:dyDescent="0.25">
      <c r="A70" s="9">
        <f>Data!G72</f>
        <v>2.2053424484112006E-2</v>
      </c>
      <c r="B70" s="7">
        <f t="shared" si="1"/>
        <v>1</v>
      </c>
    </row>
    <row r="71" spans="1:2" x14ac:dyDescent="0.25">
      <c r="A71" s="9">
        <f>Data!G73</f>
        <v>-1.8778179656147207E-3</v>
      </c>
      <c r="B71" s="7">
        <f t="shared" si="1"/>
        <v>0</v>
      </c>
    </row>
    <row r="72" spans="1:2" x14ac:dyDescent="0.25">
      <c r="A72" s="9">
        <f>Data!G74</f>
        <v>-3.893254439044725E-2</v>
      </c>
      <c r="B72" s="7">
        <f t="shared" si="1"/>
        <v>0</v>
      </c>
    </row>
    <row r="73" spans="1:2" x14ac:dyDescent="0.25">
      <c r="A73" s="9">
        <f>Data!G75</f>
        <v>1.3950869798768611E-2</v>
      </c>
      <c r="B73" s="7">
        <f t="shared" si="1"/>
        <v>1</v>
      </c>
    </row>
    <row r="74" spans="1:2" x14ac:dyDescent="0.25">
      <c r="A74" s="9">
        <f>Data!G76</f>
        <v>-1.9397989903672235E-2</v>
      </c>
      <c r="B74" s="7">
        <f t="shared" si="1"/>
        <v>0</v>
      </c>
    </row>
    <row r="75" spans="1:2" x14ac:dyDescent="0.25">
      <c r="A75" s="9">
        <f>Data!G77</f>
        <v>3.4067355494257136E-2</v>
      </c>
      <c r="B75" s="7">
        <f t="shared" si="1"/>
        <v>1</v>
      </c>
    </row>
    <row r="76" spans="1:2" x14ac:dyDescent="0.25">
      <c r="A76" s="9">
        <f>Data!G78</f>
        <v>2.4329470157089052E-2</v>
      </c>
      <c r="B76" s="7">
        <f t="shared" si="1"/>
        <v>1</v>
      </c>
    </row>
    <row r="77" spans="1:2" x14ac:dyDescent="0.25">
      <c r="A77" s="9">
        <f>Data!G79</f>
        <v>1.8430422457847446E-2</v>
      </c>
      <c r="B77" s="7">
        <f t="shared" si="1"/>
        <v>1</v>
      </c>
    </row>
    <row r="78" spans="1:2" x14ac:dyDescent="0.25">
      <c r="A78" s="9">
        <f>Data!G80</f>
        <v>4.3677164595974701E-3</v>
      </c>
      <c r="B78" s="7">
        <f t="shared" si="1"/>
        <v>1</v>
      </c>
    </row>
    <row r="79" spans="1:2" x14ac:dyDescent="0.25">
      <c r="A79" s="9">
        <f>Data!G81</f>
        <v>4.1089913552958971E-3</v>
      </c>
      <c r="B79" s="7">
        <f t="shared" si="1"/>
        <v>1</v>
      </c>
    </row>
    <row r="80" spans="1:2" x14ac:dyDescent="0.25">
      <c r="A80" s="9">
        <f>Data!G82</f>
        <v>5.0901520360608259E-3</v>
      </c>
      <c r="B80" s="7">
        <f t="shared" si="1"/>
        <v>1</v>
      </c>
    </row>
    <row r="81" spans="1:2" x14ac:dyDescent="0.25">
      <c r="A81" s="9">
        <f>Data!G83</f>
        <v>6.1095538980474196E-3</v>
      </c>
      <c r="B81" s="7">
        <f t="shared" si="1"/>
        <v>1</v>
      </c>
    </row>
    <row r="82" spans="1:2" x14ac:dyDescent="0.25">
      <c r="A82" s="9">
        <f>Data!G84</f>
        <v>3.8578498035659321E-3</v>
      </c>
      <c r="B82" s="7">
        <f t="shared" si="1"/>
        <v>1</v>
      </c>
    </row>
    <row r="83" spans="1:2" x14ac:dyDescent="0.25">
      <c r="A83" s="9">
        <f>Data!G85</f>
        <v>-3.7357768129712546E-2</v>
      </c>
      <c r="B83" s="7">
        <f t="shared" si="1"/>
        <v>0</v>
      </c>
    </row>
    <row r="84" spans="1:2" x14ac:dyDescent="0.25">
      <c r="A84" s="9">
        <f>Data!G86</f>
        <v>-3.1458434114663578E-2</v>
      </c>
      <c r="B84" s="7">
        <f t="shared" si="1"/>
        <v>0</v>
      </c>
    </row>
    <row r="85" spans="1:2" x14ac:dyDescent="0.25">
      <c r="A85" s="9">
        <f>Data!G87</f>
        <v>-1.9171295525520298E-3</v>
      </c>
      <c r="B85" s="7">
        <f t="shared" si="1"/>
        <v>0</v>
      </c>
    </row>
    <row r="86" spans="1:2" x14ac:dyDescent="0.25">
      <c r="A86" s="9">
        <f>Data!G88</f>
        <v>-1.1383338472347938E-2</v>
      </c>
      <c r="B86" s="7">
        <f t="shared" si="1"/>
        <v>0</v>
      </c>
    </row>
    <row r="87" spans="1:2" x14ac:dyDescent="0.25">
      <c r="A87" s="9">
        <f>Data!G89</f>
        <v>6.3145193040224446E-3</v>
      </c>
      <c r="B87" s="7">
        <f t="shared" si="1"/>
        <v>1</v>
      </c>
    </row>
    <row r="88" spans="1:2" x14ac:dyDescent="0.25">
      <c r="A88" s="9">
        <f>Data!G90</f>
        <v>5.2688805788147618E-3</v>
      </c>
      <c r="B88" s="7">
        <f t="shared" si="1"/>
        <v>1</v>
      </c>
    </row>
    <row r="89" spans="1:2" x14ac:dyDescent="0.25">
      <c r="A89" s="9">
        <f>Data!G91</f>
        <v>6.3147892627354651E-2</v>
      </c>
      <c r="B89" s="7">
        <f t="shared" si="1"/>
        <v>1</v>
      </c>
    </row>
    <row r="90" spans="1:2" x14ac:dyDescent="0.25">
      <c r="A90" s="9">
        <f>Data!G92</f>
        <v>1.0154649222475222E-2</v>
      </c>
      <c r="B90" s="7">
        <f t="shared" si="1"/>
        <v>1</v>
      </c>
    </row>
    <row r="91" spans="1:2" x14ac:dyDescent="0.25">
      <c r="A91" s="9">
        <f>Data!G93</f>
        <v>-2.819049053336116E-3</v>
      </c>
      <c r="B91" s="7">
        <f t="shared" si="1"/>
        <v>0</v>
      </c>
    </row>
    <row r="92" spans="1:2" x14ac:dyDescent="0.25">
      <c r="A92" s="9">
        <f>Data!G94</f>
        <v>-4.1484963470577807E-3</v>
      </c>
      <c r="B92" s="7">
        <f t="shared" si="1"/>
        <v>0</v>
      </c>
    </row>
    <row r="93" spans="1:2" x14ac:dyDescent="0.25">
      <c r="A93" s="9">
        <f>Data!G95</f>
        <v>-8.9097414753199302E-4</v>
      </c>
      <c r="B93" s="7">
        <f t="shared" si="1"/>
        <v>0</v>
      </c>
    </row>
    <row r="94" spans="1:2" x14ac:dyDescent="0.25">
      <c r="A94" s="9">
        <f>Data!G96</f>
        <v>-1.1744783390333791E-2</v>
      </c>
      <c r="B94" s="7">
        <f t="shared" si="1"/>
        <v>0</v>
      </c>
    </row>
    <row r="95" spans="1:2" x14ac:dyDescent="0.25">
      <c r="A95" s="9">
        <f>Data!G97</f>
        <v>-9.1964615702142E-3</v>
      </c>
      <c r="B95" s="7">
        <f t="shared" si="1"/>
        <v>0</v>
      </c>
    </row>
    <row r="96" spans="1:2" x14ac:dyDescent="0.25">
      <c r="A96" s="9">
        <f>Data!G98</f>
        <v>-2.3054378103427465E-2</v>
      </c>
      <c r="B96" s="7">
        <f t="shared" si="1"/>
        <v>0</v>
      </c>
    </row>
    <row r="97" spans="1:2" x14ac:dyDescent="0.25">
      <c r="A97" s="9">
        <f>Data!G99</f>
        <v>-3.6148879831006961E-3</v>
      </c>
      <c r="B97" s="7">
        <f t="shared" si="1"/>
        <v>0</v>
      </c>
    </row>
    <row r="98" spans="1:2" x14ac:dyDescent="0.25">
      <c r="A98" s="9">
        <f>Data!G100</f>
        <v>-3.0243310092217947E-2</v>
      </c>
      <c r="B98" s="7">
        <f t="shared" si="1"/>
        <v>0</v>
      </c>
    </row>
    <row r="99" spans="1:2" x14ac:dyDescent="0.25">
      <c r="A99" s="9">
        <f>Data!G101</f>
        <v>2.529508364979972E-2</v>
      </c>
      <c r="B99" s="7">
        <f t="shared" si="1"/>
        <v>1</v>
      </c>
    </row>
    <row r="100" spans="1:2" x14ac:dyDescent="0.25">
      <c r="A100" s="9">
        <f>Data!G102</f>
        <v>1.0511089199105456E-3</v>
      </c>
      <c r="B100" s="7">
        <f t="shared" si="1"/>
        <v>1</v>
      </c>
    </row>
    <row r="101" spans="1:2" x14ac:dyDescent="0.25">
      <c r="A101" s="9">
        <f>Data!G103</f>
        <v>-2.3450117250585958E-3</v>
      </c>
      <c r="B101" s="7">
        <f t="shared" si="1"/>
        <v>0</v>
      </c>
    </row>
    <row r="102" spans="1:2" x14ac:dyDescent="0.25">
      <c r="A102" s="9">
        <f>Data!G104</f>
        <v>4.500576354432898E-3</v>
      </c>
      <c r="B102" s="7">
        <f t="shared" si="1"/>
        <v>1</v>
      </c>
    </row>
    <row r="103" spans="1:2" x14ac:dyDescent="0.25">
      <c r="A103" s="9">
        <f>Data!G105</f>
        <v>4.230945776039342E-3</v>
      </c>
      <c r="B103" s="7">
        <f t="shared" si="1"/>
        <v>1</v>
      </c>
    </row>
    <row r="104" spans="1:2" x14ac:dyDescent="0.25">
      <c r="A104" s="9">
        <f>Data!G106</f>
        <v>7.7853295971699495E-3</v>
      </c>
      <c r="B104" s="7">
        <f t="shared" si="1"/>
        <v>1</v>
      </c>
    </row>
    <row r="105" spans="1:2" x14ac:dyDescent="0.25">
      <c r="A105" s="9">
        <f>Data!G107</f>
        <v>-2.2135346055815771E-3</v>
      </c>
      <c r="B105" s="7">
        <f t="shared" si="1"/>
        <v>0</v>
      </c>
    </row>
    <row r="106" spans="1:2" x14ac:dyDescent="0.25">
      <c r="A106" s="9">
        <f>Data!G108</f>
        <v>-1.0795774578297787E-2</v>
      </c>
      <c r="B106" s="7">
        <f t="shared" si="1"/>
        <v>0</v>
      </c>
    </row>
    <row r="107" spans="1:2" x14ac:dyDescent="0.25">
      <c r="A107" s="9">
        <f>Data!G109</f>
        <v>1.6397864231877623E-2</v>
      </c>
      <c r="B107" s="7">
        <f t="shared" si="1"/>
        <v>1</v>
      </c>
    </row>
    <row r="108" spans="1:2" x14ac:dyDescent="0.25">
      <c r="A108" s="9">
        <f>Data!G110</f>
        <v>-1.2113498319344267E-2</v>
      </c>
      <c r="B108" s="7">
        <f t="shared" si="1"/>
        <v>0</v>
      </c>
    </row>
    <row r="109" spans="1:2" x14ac:dyDescent="0.25">
      <c r="A109" s="9">
        <f>Data!G111</f>
        <v>6.0539131559442915E-3</v>
      </c>
      <c r="B109" s="7">
        <f t="shared" si="1"/>
        <v>1</v>
      </c>
    </row>
    <row r="110" spans="1:2" x14ac:dyDescent="0.25">
      <c r="A110" s="9">
        <f>Data!G112</f>
        <v>-1.9189691659579518E-2</v>
      </c>
      <c r="B110" s="7">
        <f t="shared" si="1"/>
        <v>0</v>
      </c>
    </row>
    <row r="111" spans="1:2" x14ac:dyDescent="0.25">
      <c r="A111" s="9">
        <f>Data!G113</f>
        <v>2.1072478234348459E-3</v>
      </c>
      <c r="B111" s="7">
        <f t="shared" si="1"/>
        <v>1</v>
      </c>
    </row>
    <row r="112" spans="1:2" x14ac:dyDescent="0.25">
      <c r="A112" s="9">
        <f>Data!G114</f>
        <v>-1.3804136210201174E-2</v>
      </c>
      <c r="B112" s="7">
        <f t="shared" si="1"/>
        <v>0</v>
      </c>
    </row>
    <row r="113" spans="1:2" x14ac:dyDescent="0.25">
      <c r="A113" s="9">
        <f>Data!G115</f>
        <v>1.0028719068339036E-2</v>
      </c>
      <c r="B113" s="7">
        <f t="shared" si="1"/>
        <v>1</v>
      </c>
    </row>
    <row r="114" spans="1:2" x14ac:dyDescent="0.25">
      <c r="A114" s="9">
        <f>Data!G116</f>
        <v>-1.4009888739059371E-2</v>
      </c>
      <c r="B114" s="7">
        <f t="shared" si="1"/>
        <v>0</v>
      </c>
    </row>
    <row r="115" spans="1:2" x14ac:dyDescent="0.25">
      <c r="A115" s="9">
        <f>Data!G117</f>
        <v>4.8046140686065497E-3</v>
      </c>
      <c r="B115" s="7">
        <f t="shared" si="1"/>
        <v>1</v>
      </c>
    </row>
    <row r="116" spans="1:2" x14ac:dyDescent="0.25">
      <c r="A116" s="9">
        <f>Data!G118</f>
        <v>2.248594309950196E-2</v>
      </c>
      <c r="B116" s="7">
        <f t="shared" si="1"/>
        <v>1</v>
      </c>
    </row>
    <row r="117" spans="1:2" x14ac:dyDescent="0.25">
      <c r="A117" s="9">
        <f>Data!G119</f>
        <v>2.4878102284397849E-3</v>
      </c>
      <c r="B117" s="7">
        <f t="shared" si="1"/>
        <v>1</v>
      </c>
    </row>
    <row r="118" spans="1:2" x14ac:dyDescent="0.25">
      <c r="A118" s="9">
        <f>Data!G120</f>
        <v>-5.9579166190066868E-3</v>
      </c>
      <c r="B118" s="7">
        <f t="shared" si="1"/>
        <v>0</v>
      </c>
    </row>
    <row r="119" spans="1:2" x14ac:dyDescent="0.25">
      <c r="A119" s="9">
        <f>Data!G121</f>
        <v>6.2938077536910325E-3</v>
      </c>
      <c r="B119" s="7">
        <f t="shared" si="1"/>
        <v>1</v>
      </c>
    </row>
    <row r="120" spans="1:2" x14ac:dyDescent="0.25">
      <c r="A120" s="9">
        <f>Data!G122</f>
        <v>-2.7792002465980774E-3</v>
      </c>
      <c r="B120" s="7">
        <f t="shared" si="1"/>
        <v>0</v>
      </c>
    </row>
    <row r="121" spans="1:2" x14ac:dyDescent="0.25">
      <c r="A121" s="9">
        <f>Data!G123</f>
        <v>3.9386173957267363E-4</v>
      </c>
      <c r="B121" s="7">
        <f t="shared" si="1"/>
        <v>1</v>
      </c>
    </row>
    <row r="122" spans="1:2" x14ac:dyDescent="0.25">
      <c r="A122" s="9">
        <f>Data!G124</f>
        <v>2.0343172677753547E-2</v>
      </c>
      <c r="B122" s="7">
        <f t="shared" si="1"/>
        <v>1</v>
      </c>
    </row>
    <row r="123" spans="1:2" x14ac:dyDescent="0.25">
      <c r="A123" s="9">
        <f>Data!G125</f>
        <v>1.2914002705884104E-2</v>
      </c>
      <c r="B123" s="7">
        <f t="shared" si="1"/>
        <v>1</v>
      </c>
    </row>
    <row r="124" spans="1:2" x14ac:dyDescent="0.25">
      <c r="A124" s="9">
        <f>Data!G126</f>
        <v>2.2229401638514175E-2</v>
      </c>
      <c r="B124" s="7">
        <f t="shared" si="1"/>
        <v>1</v>
      </c>
    </row>
    <row r="125" spans="1:2" x14ac:dyDescent="0.25">
      <c r="A125" s="9">
        <f>Data!G127</f>
        <v>5.2265876703476251E-3</v>
      </c>
      <c r="B125" s="7">
        <f t="shared" si="1"/>
        <v>1</v>
      </c>
    </row>
    <row r="126" spans="1:2" x14ac:dyDescent="0.25">
      <c r="A126" s="9">
        <f>Data!G128</f>
        <v>-1.6855857081853266E-2</v>
      </c>
      <c r="B126" s="7">
        <f t="shared" si="1"/>
        <v>0</v>
      </c>
    </row>
    <row r="127" spans="1:2" x14ac:dyDescent="0.25">
      <c r="A127" s="9">
        <f>Data!G129</f>
        <v>2.8638387849687737E-4</v>
      </c>
      <c r="B127" s="7">
        <f t="shared" si="1"/>
        <v>1</v>
      </c>
    </row>
    <row r="128" spans="1:2" x14ac:dyDescent="0.25">
      <c r="A128" s="9">
        <f>Data!G130</f>
        <v>5.3824754615425675E-3</v>
      </c>
      <c r="B128" s="7">
        <f t="shared" si="1"/>
        <v>1</v>
      </c>
    </row>
    <row r="129" spans="1:2" x14ac:dyDescent="0.25">
      <c r="A129" s="9">
        <f>Data!G131</f>
        <v>6.0133746564972257E-3</v>
      </c>
      <c r="B129" s="7">
        <f t="shared" si="1"/>
        <v>1</v>
      </c>
    </row>
    <row r="130" spans="1:2" x14ac:dyDescent="0.25">
      <c r="A130" s="9">
        <f>Data!G132</f>
        <v>-5.8830744843463307E-3</v>
      </c>
      <c r="B130" s="7">
        <f t="shared" si="1"/>
        <v>0</v>
      </c>
    </row>
    <row r="131" spans="1:2" x14ac:dyDescent="0.25">
      <c r="A131" s="9">
        <f>Data!G133</f>
        <v>-1.2030353507310871E-2</v>
      </c>
      <c r="B131" s="7">
        <f t="shared" ref="B131:B194" si="2">IF(A131&gt;0,1,0)</f>
        <v>0</v>
      </c>
    </row>
    <row r="132" spans="1:2" x14ac:dyDescent="0.25">
      <c r="A132" s="9">
        <f>Data!G134</f>
        <v>2.3489062454967497E-3</v>
      </c>
      <c r="B132" s="7">
        <f t="shared" si="2"/>
        <v>1</v>
      </c>
    </row>
    <row r="133" spans="1:2" x14ac:dyDescent="0.25">
      <c r="A133" s="9">
        <f>Data!G135</f>
        <v>5.0222599211198577E-3</v>
      </c>
      <c r="B133" s="7">
        <f t="shared" si="2"/>
        <v>1</v>
      </c>
    </row>
    <row r="134" spans="1:2" x14ac:dyDescent="0.25">
      <c r="A134" s="9">
        <f>Data!G136</f>
        <v>-6.6755992542395478E-4</v>
      </c>
      <c r="B134" s="7">
        <f t="shared" si="2"/>
        <v>0</v>
      </c>
    </row>
    <row r="135" spans="1:2" x14ac:dyDescent="0.25">
      <c r="A135" s="9">
        <f>Data!G137</f>
        <v>5.5253627510389253E-3</v>
      </c>
      <c r="B135" s="7">
        <f t="shared" si="2"/>
        <v>1</v>
      </c>
    </row>
    <row r="136" spans="1:2" x14ac:dyDescent="0.25">
      <c r="A136" s="9">
        <f>Data!G138</f>
        <v>6.1498455420737333E-3</v>
      </c>
      <c r="B136" s="7">
        <f t="shared" si="2"/>
        <v>1</v>
      </c>
    </row>
    <row r="137" spans="1:2" x14ac:dyDescent="0.25">
      <c r="A137" s="9">
        <f>Data!G139</f>
        <v>9.0410454976348094E-3</v>
      </c>
      <c r="B137" s="7">
        <f t="shared" si="2"/>
        <v>1</v>
      </c>
    </row>
    <row r="138" spans="1:2" x14ac:dyDescent="0.25">
      <c r="A138" s="9">
        <f>Data!G140</f>
        <v>-1.1684973124561815E-3</v>
      </c>
      <c r="B138" s="7">
        <f t="shared" si="2"/>
        <v>0</v>
      </c>
    </row>
    <row r="139" spans="1:2" x14ac:dyDescent="0.25">
      <c r="A139" s="9">
        <f>Data!G141</f>
        <v>-1.8203088441739897E-3</v>
      </c>
      <c r="B139" s="7">
        <f t="shared" si="2"/>
        <v>0</v>
      </c>
    </row>
    <row r="140" spans="1:2" x14ac:dyDescent="0.25">
      <c r="A140" s="9">
        <f>Data!G142</f>
        <v>5.6255889288412005E-4</v>
      </c>
      <c r="B140" s="7">
        <f t="shared" si="2"/>
        <v>1</v>
      </c>
    </row>
    <row r="141" spans="1:2" x14ac:dyDescent="0.25">
      <c r="A141" s="9">
        <f>Data!G143</f>
        <v>7.9182499262048494E-4</v>
      </c>
      <c r="B141" s="7">
        <f t="shared" si="2"/>
        <v>1</v>
      </c>
    </row>
    <row r="142" spans="1:2" x14ac:dyDescent="0.25">
      <c r="A142" s="9">
        <f>Data!G144</f>
        <v>-1.2986891385767795E-2</v>
      </c>
      <c r="B142" s="7">
        <f t="shared" si="2"/>
        <v>0</v>
      </c>
    </row>
    <row r="143" spans="1:2" x14ac:dyDescent="0.25">
      <c r="A143" s="9">
        <f>Data!G145</f>
        <v>-1.0506294290078091E-2</v>
      </c>
      <c r="B143" s="7">
        <f t="shared" si="2"/>
        <v>0</v>
      </c>
    </row>
    <row r="144" spans="1:2" x14ac:dyDescent="0.25">
      <c r="A144" s="9">
        <f>Data!G146</f>
        <v>-7.0801635580099035E-3</v>
      </c>
      <c r="B144" s="7">
        <f t="shared" si="2"/>
        <v>0</v>
      </c>
    </row>
    <row r="145" spans="1:2" x14ac:dyDescent="0.25">
      <c r="A145" s="9">
        <f>Data!G147</f>
        <v>-2.5003138065213697E-2</v>
      </c>
      <c r="B145" s="7">
        <f t="shared" si="2"/>
        <v>0</v>
      </c>
    </row>
    <row r="146" spans="1:2" x14ac:dyDescent="0.25">
      <c r="A146" s="9">
        <f>Data!G148</f>
        <v>4.7881953900620654E-3</v>
      </c>
      <c r="B146" s="7">
        <f t="shared" si="2"/>
        <v>1</v>
      </c>
    </row>
    <row r="147" spans="1:2" x14ac:dyDescent="0.25">
      <c r="A147" s="9">
        <f>Data!G149</f>
        <v>-2.1091848099269537E-3</v>
      </c>
      <c r="B147" s="7">
        <f t="shared" si="2"/>
        <v>0</v>
      </c>
    </row>
    <row r="148" spans="1:2" x14ac:dyDescent="0.25">
      <c r="A148" s="9">
        <f>Data!G150</f>
        <v>5.0905212006281633E-2</v>
      </c>
      <c r="B148" s="7">
        <f t="shared" si="2"/>
        <v>1</v>
      </c>
    </row>
    <row r="149" spans="1:2" x14ac:dyDescent="0.25">
      <c r="A149" s="9">
        <f>Data!G151</f>
        <v>3.1794813958515522E-2</v>
      </c>
      <c r="B149" s="7">
        <f t="shared" si="2"/>
        <v>1</v>
      </c>
    </row>
    <row r="150" spans="1:2" x14ac:dyDescent="0.25">
      <c r="A150" s="9">
        <f>Data!G152</f>
        <v>4.2355898855935215E-2</v>
      </c>
      <c r="B150" s="7">
        <f t="shared" si="2"/>
        <v>1</v>
      </c>
    </row>
    <row r="151" spans="1:2" x14ac:dyDescent="0.25">
      <c r="A151" s="9">
        <f>Data!G153</f>
        <v>-8.3366831536081376E-3</v>
      </c>
      <c r="B151" s="7">
        <f t="shared" si="2"/>
        <v>0</v>
      </c>
    </row>
    <row r="152" spans="1:2" x14ac:dyDescent="0.25">
      <c r="A152" s="9">
        <f>Data!G154</f>
        <v>1.0874162848078909E-2</v>
      </c>
      <c r="B152" s="7">
        <f t="shared" si="2"/>
        <v>1</v>
      </c>
    </row>
    <row r="153" spans="1:2" x14ac:dyDescent="0.25">
      <c r="A153" s="9">
        <f>Data!G155</f>
        <v>1.6022455846714509E-2</v>
      </c>
      <c r="B153" s="7">
        <f t="shared" si="2"/>
        <v>1</v>
      </c>
    </row>
    <row r="154" spans="1:2" x14ac:dyDescent="0.25">
      <c r="A154" s="9">
        <f>Data!G156</f>
        <v>-2.3551719404214708E-3</v>
      </c>
      <c r="B154" s="7">
        <f t="shared" si="2"/>
        <v>0</v>
      </c>
    </row>
    <row r="155" spans="1:2" x14ac:dyDescent="0.25">
      <c r="A155" s="9">
        <f>Data!G157</f>
        <v>-5.1127690223817714E-3</v>
      </c>
      <c r="B155" s="7">
        <f t="shared" si="2"/>
        <v>0</v>
      </c>
    </row>
    <row r="156" spans="1:2" x14ac:dyDescent="0.25">
      <c r="A156" s="9">
        <f>Data!G158</f>
        <v>-3.0255093661126398E-3</v>
      </c>
      <c r="B156" s="7">
        <f t="shared" si="2"/>
        <v>0</v>
      </c>
    </row>
    <row r="157" spans="1:2" x14ac:dyDescent="0.25">
      <c r="A157" s="9">
        <f>Data!G159</f>
        <v>-1.4263047003026355E-3</v>
      </c>
      <c r="B157" s="7">
        <f t="shared" si="2"/>
        <v>0</v>
      </c>
    </row>
    <row r="158" spans="1:2" x14ac:dyDescent="0.25">
      <c r="A158" s="9">
        <f>Data!G160</f>
        <v>-1.973629942215099E-2</v>
      </c>
      <c r="B158" s="7">
        <f t="shared" si="2"/>
        <v>0</v>
      </c>
    </row>
    <row r="159" spans="1:2" x14ac:dyDescent="0.25">
      <c r="A159" s="9">
        <f>Data!G161</f>
        <v>-4.9116218095495781E-3</v>
      </c>
      <c r="B159" s="7">
        <f t="shared" si="2"/>
        <v>0</v>
      </c>
    </row>
    <row r="160" spans="1:2" x14ac:dyDescent="0.25">
      <c r="A160" s="9">
        <f>Data!G162</f>
        <v>1.2715749370221021E-2</v>
      </c>
      <c r="B160" s="7">
        <f t="shared" si="2"/>
        <v>1</v>
      </c>
    </row>
    <row r="161" spans="1:2" x14ac:dyDescent="0.25">
      <c r="A161" s="9">
        <f>Data!G163</f>
        <v>-2.6325157445536351E-3</v>
      </c>
      <c r="B161" s="7">
        <f t="shared" si="2"/>
        <v>0</v>
      </c>
    </row>
    <row r="162" spans="1:2" x14ac:dyDescent="0.25">
      <c r="A162" s="9">
        <f>Data!G164</f>
        <v>9.4650568432184546E-3</v>
      </c>
      <c r="B162" s="7">
        <f t="shared" si="2"/>
        <v>1</v>
      </c>
    </row>
    <row r="163" spans="1:2" x14ac:dyDescent="0.25">
      <c r="A163" s="9">
        <f>Data!G165</f>
        <v>5.1464939237323738E-3</v>
      </c>
      <c r="B163" s="7">
        <f t="shared" si="2"/>
        <v>1</v>
      </c>
    </row>
    <row r="164" spans="1:2" x14ac:dyDescent="0.25">
      <c r="A164" s="9">
        <f>Data!G166</f>
        <v>8.9808787190522824E-3</v>
      </c>
      <c r="B164" s="7">
        <f t="shared" si="2"/>
        <v>1</v>
      </c>
    </row>
    <row r="165" spans="1:2" x14ac:dyDescent="0.25">
      <c r="A165" s="9">
        <f>Data!G167</f>
        <v>-1.80773452127323E-3</v>
      </c>
      <c r="B165" s="7">
        <f t="shared" si="2"/>
        <v>0</v>
      </c>
    </row>
    <row r="166" spans="1:2" x14ac:dyDescent="0.25">
      <c r="A166" s="9">
        <f>Data!G168</f>
        <v>-1.042192182480651E-2</v>
      </c>
      <c r="B166" s="7">
        <f t="shared" si="2"/>
        <v>0</v>
      </c>
    </row>
    <row r="167" spans="1:2" x14ac:dyDescent="0.25">
      <c r="A167" s="9">
        <f>Data!G169</f>
        <v>3.808747788651759E-2</v>
      </c>
      <c r="B167" s="7">
        <f t="shared" si="2"/>
        <v>1</v>
      </c>
    </row>
    <row r="168" spans="1:2" x14ac:dyDescent="0.25">
      <c r="A168" s="9">
        <f>Data!G170</f>
        <v>5.4944824315078453E-3</v>
      </c>
      <c r="B168" s="7">
        <f t="shared" si="2"/>
        <v>1</v>
      </c>
    </row>
    <row r="169" spans="1:2" x14ac:dyDescent="0.25">
      <c r="A169" s="9">
        <f>Data!G171</f>
        <v>-3.757075826139371E-4</v>
      </c>
      <c r="B169" s="7">
        <f t="shared" si="2"/>
        <v>0</v>
      </c>
    </row>
    <row r="170" spans="1:2" x14ac:dyDescent="0.25">
      <c r="A170" s="9">
        <f>Data!G172</f>
        <v>-7.5503846185969682E-3</v>
      </c>
      <c r="B170" s="7">
        <f t="shared" si="2"/>
        <v>0</v>
      </c>
    </row>
    <row r="171" spans="1:2" x14ac:dyDescent="0.25">
      <c r="A171" s="9">
        <f>Data!G173</f>
        <v>-1.4841152956027835E-2</v>
      </c>
      <c r="B171" s="7">
        <f t="shared" si="2"/>
        <v>0</v>
      </c>
    </row>
    <row r="172" spans="1:2" x14ac:dyDescent="0.25">
      <c r="A172" s="9">
        <f>Data!G174</f>
        <v>-3.2260820167177073E-2</v>
      </c>
      <c r="B172" s="7">
        <f t="shared" si="2"/>
        <v>0</v>
      </c>
    </row>
    <row r="173" spans="1:2" x14ac:dyDescent="0.25">
      <c r="A173" s="9">
        <f>Data!G175</f>
        <v>1.4286975327713267E-2</v>
      </c>
      <c r="B173" s="7">
        <f t="shared" si="2"/>
        <v>1</v>
      </c>
    </row>
    <row r="174" spans="1:2" x14ac:dyDescent="0.25">
      <c r="A174" s="9">
        <f>Data!G176</f>
        <v>1.7562563368391744E-2</v>
      </c>
      <c r="B174" s="7">
        <f t="shared" si="2"/>
        <v>1</v>
      </c>
    </row>
    <row r="175" spans="1:2" x14ac:dyDescent="0.25">
      <c r="A175" s="9">
        <f>Data!G177</f>
        <v>1.1238309464042176E-2</v>
      </c>
      <c r="B175" s="7">
        <f t="shared" si="2"/>
        <v>1</v>
      </c>
    </row>
    <row r="176" spans="1:2" x14ac:dyDescent="0.25">
      <c r="A176" s="9">
        <f>Data!G178</f>
        <v>6.1233724219883516E-3</v>
      </c>
      <c r="B176" s="7">
        <f t="shared" si="2"/>
        <v>1</v>
      </c>
    </row>
    <row r="177" spans="1:2" x14ac:dyDescent="0.25">
      <c r="A177" s="9">
        <f>Data!G179</f>
        <v>3.5306133600089733E-3</v>
      </c>
      <c r="B177" s="7">
        <f t="shared" si="2"/>
        <v>1</v>
      </c>
    </row>
    <row r="178" spans="1:2" x14ac:dyDescent="0.25">
      <c r="A178" s="9">
        <f>Data!G180</f>
        <v>-4.644851084147532E-3</v>
      </c>
      <c r="B178" s="7">
        <f t="shared" si="2"/>
        <v>0</v>
      </c>
    </row>
    <row r="179" spans="1:2" x14ac:dyDescent="0.25">
      <c r="A179" s="9">
        <f>Data!G181</f>
        <v>3.2030296654744349E-2</v>
      </c>
      <c r="B179" s="7">
        <f t="shared" si="2"/>
        <v>1</v>
      </c>
    </row>
    <row r="180" spans="1:2" x14ac:dyDescent="0.25">
      <c r="A180" s="9">
        <f>Data!G182</f>
        <v>4.3096769984750975E-2</v>
      </c>
      <c r="B180" s="7">
        <f t="shared" si="2"/>
        <v>1</v>
      </c>
    </row>
    <row r="181" spans="1:2" x14ac:dyDescent="0.25">
      <c r="A181" s="9">
        <f>Data!G183</f>
        <v>-6.44172738359547E-3</v>
      </c>
      <c r="B181" s="7">
        <f t="shared" si="2"/>
        <v>0</v>
      </c>
    </row>
    <row r="182" spans="1:2" x14ac:dyDescent="0.25">
      <c r="A182" s="9">
        <f>Data!G184</f>
        <v>-8.3325465017467463E-3</v>
      </c>
      <c r="B182" s="7">
        <f t="shared" si="2"/>
        <v>0</v>
      </c>
    </row>
    <row r="183" spans="1:2" x14ac:dyDescent="0.25">
      <c r="A183" s="9">
        <f>Data!G185</f>
        <v>1.8070664032435863E-2</v>
      </c>
      <c r="B183" s="7">
        <f t="shared" si="2"/>
        <v>1</v>
      </c>
    </row>
    <row r="184" spans="1:2" x14ac:dyDescent="0.25">
      <c r="A184" s="9">
        <f>Data!G186</f>
        <v>-5.4866904890869695E-3</v>
      </c>
      <c r="B184" s="7">
        <f t="shared" si="2"/>
        <v>0</v>
      </c>
    </row>
    <row r="185" spans="1:2" x14ac:dyDescent="0.25">
      <c r="A185" s="9">
        <f>Data!G187</f>
        <v>-4.0319262733481305E-3</v>
      </c>
      <c r="B185" s="7">
        <f t="shared" si="2"/>
        <v>0</v>
      </c>
    </row>
    <row r="186" spans="1:2" x14ac:dyDescent="0.25">
      <c r="A186" s="9">
        <f>Data!G188</f>
        <v>7.8289742863442337E-4</v>
      </c>
      <c r="B186" s="7">
        <f t="shared" si="2"/>
        <v>1</v>
      </c>
    </row>
    <row r="187" spans="1:2" x14ac:dyDescent="0.25">
      <c r="A187" s="9">
        <f>Data!G189</f>
        <v>3.2234858461453525E-3</v>
      </c>
      <c r="B187" s="7">
        <f t="shared" si="2"/>
        <v>1</v>
      </c>
    </row>
    <row r="188" spans="1:2" x14ac:dyDescent="0.25">
      <c r="A188" s="9">
        <f>Data!G190</f>
        <v>6.575157815542799E-3</v>
      </c>
      <c r="B188" s="7">
        <f t="shared" si="2"/>
        <v>1</v>
      </c>
    </row>
    <row r="189" spans="1:2" x14ac:dyDescent="0.25">
      <c r="A189" s="9">
        <f>Data!G191</f>
        <v>3.4607464156555376E-3</v>
      </c>
      <c r="B189" s="7">
        <f t="shared" si="2"/>
        <v>1</v>
      </c>
    </row>
    <row r="190" spans="1:2" x14ac:dyDescent="0.25">
      <c r="A190" s="9">
        <f>Data!G192</f>
        <v>-5.1557590099701586E-3</v>
      </c>
      <c r="B190" s="7">
        <f t="shared" si="2"/>
        <v>0</v>
      </c>
    </row>
    <row r="191" spans="1:2" x14ac:dyDescent="0.25">
      <c r="A191" s="9">
        <f>Data!G193</f>
        <v>-8.1500228122627176E-4</v>
      </c>
      <c r="B191" s="7">
        <f t="shared" si="2"/>
        <v>0</v>
      </c>
    </row>
    <row r="192" spans="1:2" x14ac:dyDescent="0.25">
      <c r="A192" s="9">
        <f>Data!G194</f>
        <v>6.1584813762526709E-3</v>
      </c>
      <c r="B192" s="7">
        <f t="shared" si="2"/>
        <v>1</v>
      </c>
    </row>
    <row r="193" spans="1:2" x14ac:dyDescent="0.25">
      <c r="A193" s="9">
        <f>Data!G195</f>
        <v>-1.5577363174430748E-2</v>
      </c>
      <c r="B193" s="7">
        <f t="shared" si="2"/>
        <v>0</v>
      </c>
    </row>
    <row r="194" spans="1:2" x14ac:dyDescent="0.25">
      <c r="A194" s="9">
        <f>Data!G196</f>
        <v>-3.452406282260416E-2</v>
      </c>
      <c r="B194" s="7">
        <f t="shared" si="2"/>
        <v>0</v>
      </c>
    </row>
    <row r="195" spans="1:2" x14ac:dyDescent="0.25">
      <c r="A195" s="9">
        <f>Data!G197</f>
        <v>9.7456658722125146E-3</v>
      </c>
      <c r="B195" s="7">
        <f t="shared" ref="B195:B250" si="3">IF(A195&gt;0,1,0)</f>
        <v>1</v>
      </c>
    </row>
    <row r="196" spans="1:2" x14ac:dyDescent="0.25">
      <c r="A196" s="9">
        <f>Data!G198</f>
        <v>4.4458814970501032E-4</v>
      </c>
      <c r="B196" s="7">
        <f t="shared" si="3"/>
        <v>1</v>
      </c>
    </row>
    <row r="197" spans="1:2" x14ac:dyDescent="0.25">
      <c r="A197" s="9">
        <f>Data!G199</f>
        <v>6.3386256211367849E-3</v>
      </c>
      <c r="B197" s="7">
        <f t="shared" si="3"/>
        <v>1</v>
      </c>
    </row>
    <row r="198" spans="1:2" x14ac:dyDescent="0.25">
      <c r="A198" s="9">
        <f>Data!G200</f>
        <v>-7.5833303224821522E-3</v>
      </c>
      <c r="B198" s="7">
        <f t="shared" si="3"/>
        <v>0</v>
      </c>
    </row>
    <row r="199" spans="1:2" x14ac:dyDescent="0.25">
      <c r="A199" s="9">
        <f>Data!G201</f>
        <v>1.9562315440313838E-2</v>
      </c>
      <c r="B199" s="7">
        <f t="shared" si="3"/>
        <v>1</v>
      </c>
    </row>
    <row r="200" spans="1:2" x14ac:dyDescent="0.25">
      <c r="A200" s="9">
        <f>Data!G202</f>
        <v>3.9437245582155632E-2</v>
      </c>
      <c r="B200" s="7">
        <f t="shared" si="3"/>
        <v>1</v>
      </c>
    </row>
    <row r="201" spans="1:2" x14ac:dyDescent="0.25">
      <c r="A201" s="9">
        <f>Data!G203</f>
        <v>2.023008863069132E-3</v>
      </c>
      <c r="B201" s="7">
        <f t="shared" si="3"/>
        <v>1</v>
      </c>
    </row>
    <row r="202" spans="1:2" x14ac:dyDescent="0.25">
      <c r="A202" s="9">
        <f>Data!G204</f>
        <v>-1.6440902649743371E-2</v>
      </c>
      <c r="B202" s="7">
        <f t="shared" si="3"/>
        <v>0</v>
      </c>
    </row>
    <row r="203" spans="1:2" x14ac:dyDescent="0.25">
      <c r="A203" s="9">
        <f>Data!G205</f>
        <v>4.3725793958172702E-3</v>
      </c>
      <c r="B203" s="7">
        <f t="shared" si="3"/>
        <v>1</v>
      </c>
    </row>
    <row r="204" spans="1:2" x14ac:dyDescent="0.25">
      <c r="A204" s="9">
        <f>Data!G206</f>
        <v>1.2478357607517825E-2</v>
      </c>
      <c r="B204" s="7">
        <f t="shared" si="3"/>
        <v>1</v>
      </c>
    </row>
    <row r="205" spans="1:2" x14ac:dyDescent="0.25">
      <c r="A205" s="9">
        <f>Data!G207</f>
        <v>2.2794355683354649E-2</v>
      </c>
      <c r="B205" s="7">
        <f t="shared" si="3"/>
        <v>1</v>
      </c>
    </row>
    <row r="206" spans="1:2" x14ac:dyDescent="0.25">
      <c r="A206" s="9">
        <f>Data!G208</f>
        <v>7.0377955687940617E-4</v>
      </c>
      <c r="B206" s="7">
        <f t="shared" si="3"/>
        <v>1</v>
      </c>
    </row>
    <row r="207" spans="1:2" x14ac:dyDescent="0.25">
      <c r="A207" s="9">
        <f>Data!G209</f>
        <v>2.6047577761324019E-3</v>
      </c>
      <c r="B207" s="7">
        <f t="shared" si="3"/>
        <v>1</v>
      </c>
    </row>
    <row r="208" spans="1:2" x14ac:dyDescent="0.25">
      <c r="A208" s="9">
        <f>Data!G210</f>
        <v>6.3019830091411372E-3</v>
      </c>
      <c r="B208" s="7">
        <f t="shared" si="3"/>
        <v>1</v>
      </c>
    </row>
    <row r="209" spans="1:2" x14ac:dyDescent="0.25">
      <c r="A209" s="9">
        <f>Data!G211</f>
        <v>-3.795129399528638E-3</v>
      </c>
      <c r="B209" s="7">
        <f t="shared" si="3"/>
        <v>0</v>
      </c>
    </row>
    <row r="210" spans="1:2" x14ac:dyDescent="0.25">
      <c r="A210" s="9">
        <f>Data!G212</f>
        <v>-4.8832318924282763E-3</v>
      </c>
      <c r="B210" s="7">
        <f t="shared" si="3"/>
        <v>0</v>
      </c>
    </row>
    <row r="211" spans="1:2" x14ac:dyDescent="0.25">
      <c r="A211" s="9">
        <f>Data!G213</f>
        <v>3.6794660495780437E-3</v>
      </c>
      <c r="B211" s="7">
        <f t="shared" si="3"/>
        <v>1</v>
      </c>
    </row>
    <row r="212" spans="1:2" x14ac:dyDescent="0.25">
      <c r="A212" s="9">
        <f>Data!G214</f>
        <v>3.7067514771391992E-4</v>
      </c>
      <c r="B212" s="7">
        <f t="shared" si="3"/>
        <v>1</v>
      </c>
    </row>
    <row r="213" spans="1:2" x14ac:dyDescent="0.25">
      <c r="A213" s="9">
        <f>Data!G215</f>
        <v>-1.367284476689361E-3</v>
      </c>
      <c r="B213" s="7">
        <f t="shared" si="3"/>
        <v>0</v>
      </c>
    </row>
    <row r="214" spans="1:2" x14ac:dyDescent="0.25">
      <c r="A214" s="9">
        <f>Data!G216</f>
        <v>-4.8198761451381401E-3</v>
      </c>
      <c r="B214" s="7">
        <f t="shared" si="3"/>
        <v>0</v>
      </c>
    </row>
    <row r="215" spans="1:2" x14ac:dyDescent="0.25">
      <c r="A215" s="9">
        <f>Data!G217</f>
        <v>4.5486745460647533E-3</v>
      </c>
      <c r="B215" s="7">
        <f t="shared" si="3"/>
        <v>1</v>
      </c>
    </row>
    <row r="216" spans="1:2" x14ac:dyDescent="0.25">
      <c r="A216" s="9">
        <f>Data!G218</f>
        <v>2.1601158000222668E-2</v>
      </c>
      <c r="B216" s="7">
        <f t="shared" si="3"/>
        <v>1</v>
      </c>
    </row>
    <row r="217" spans="1:2" x14ac:dyDescent="0.25">
      <c r="A217" s="9">
        <f>Data!G219</f>
        <v>-6.4668483197092563E-3</v>
      </c>
      <c r="B217" s="7">
        <f t="shared" si="3"/>
        <v>0</v>
      </c>
    </row>
    <row r="218" spans="1:2" x14ac:dyDescent="0.25">
      <c r="A218" s="9">
        <f>Data!G220</f>
        <v>-1.9014882802502601E-3</v>
      </c>
      <c r="B218" s="7">
        <f t="shared" si="3"/>
        <v>0</v>
      </c>
    </row>
    <row r="219" spans="1:2" x14ac:dyDescent="0.25">
      <c r="A219" s="9">
        <f>Data!G221</f>
        <v>-1.9783843194722977E-3</v>
      </c>
      <c r="B219" s="7">
        <f t="shared" si="3"/>
        <v>0</v>
      </c>
    </row>
    <row r="220" spans="1:2" x14ac:dyDescent="0.25">
      <c r="A220" s="9">
        <f>Data!G222</f>
        <v>-1.8171139091810305E-2</v>
      </c>
      <c r="B220" s="7">
        <f t="shared" si="3"/>
        <v>0</v>
      </c>
    </row>
    <row r="221" spans="1:2" x14ac:dyDescent="0.25">
      <c r="A221" s="9">
        <f>Data!G223</f>
        <v>-7.477753682786888E-5</v>
      </c>
      <c r="B221" s="7">
        <f t="shared" si="3"/>
        <v>0</v>
      </c>
    </row>
    <row r="222" spans="1:2" x14ac:dyDescent="0.25">
      <c r="A222" s="9">
        <f>Data!G224</f>
        <v>4.1878552198624163E-3</v>
      </c>
      <c r="B222" s="7">
        <f t="shared" si="3"/>
        <v>1</v>
      </c>
    </row>
    <row r="223" spans="1:2" x14ac:dyDescent="0.25">
      <c r="A223" s="9">
        <f>Data!G225</f>
        <v>-8.6014298480786497E-3</v>
      </c>
      <c r="B223" s="7">
        <f t="shared" si="3"/>
        <v>0</v>
      </c>
    </row>
    <row r="224" spans="1:2" x14ac:dyDescent="0.25">
      <c r="A224" s="9">
        <f>Data!G226</f>
        <v>1.9680751173708953E-2</v>
      </c>
      <c r="B224" s="7">
        <f t="shared" si="3"/>
        <v>1</v>
      </c>
    </row>
    <row r="225" spans="1:2" x14ac:dyDescent="0.25">
      <c r="A225" s="9">
        <f>Data!G227</f>
        <v>1.6317359755423796E-2</v>
      </c>
      <c r="B225" s="7">
        <f t="shared" si="3"/>
        <v>1</v>
      </c>
    </row>
    <row r="226" spans="1:2" x14ac:dyDescent="0.25">
      <c r="A226" s="9">
        <f>Data!G228</f>
        <v>3.8054508553204236E-3</v>
      </c>
      <c r="B226" s="7">
        <f t="shared" si="3"/>
        <v>1</v>
      </c>
    </row>
    <row r="227" spans="1:2" x14ac:dyDescent="0.25">
      <c r="A227" s="9">
        <f>Data!G229</f>
        <v>2.094089612593364E-3</v>
      </c>
      <c r="B227" s="7">
        <f t="shared" si="3"/>
        <v>1</v>
      </c>
    </row>
    <row r="228" spans="1:2" x14ac:dyDescent="0.25">
      <c r="A228" s="9">
        <f>Data!G230</f>
        <v>4.6838407494145607E-3</v>
      </c>
      <c r="B228" s="7">
        <f t="shared" si="3"/>
        <v>1</v>
      </c>
    </row>
    <row r="229" spans="1:2" x14ac:dyDescent="0.25">
      <c r="A229" s="9">
        <f>Data!G231</f>
        <v>1.5241169087322932E-2</v>
      </c>
      <c r="B229" s="7">
        <f t="shared" si="3"/>
        <v>1</v>
      </c>
    </row>
    <row r="230" spans="1:2" x14ac:dyDescent="0.25">
      <c r="A230" s="9">
        <f>Data!G232</f>
        <v>1.0914871070293094E-2</v>
      </c>
      <c r="B230" s="7">
        <f t="shared" si="3"/>
        <v>1</v>
      </c>
    </row>
    <row r="231" spans="1:2" x14ac:dyDescent="0.25">
      <c r="A231" s="9">
        <f>Data!G233</f>
        <v>-7.1281316607848645E-3</v>
      </c>
      <c r="B231" s="7">
        <f t="shared" si="3"/>
        <v>0</v>
      </c>
    </row>
    <row r="232" spans="1:2" x14ac:dyDescent="0.25">
      <c r="A232" s="9">
        <f>Data!G234</f>
        <v>-1.2141474573288716E-2</v>
      </c>
      <c r="B232" s="7">
        <f t="shared" si="3"/>
        <v>0</v>
      </c>
    </row>
    <row r="233" spans="1:2" x14ac:dyDescent="0.25">
      <c r="A233" s="9">
        <f>Data!G235</f>
        <v>-6.8400427502672461E-3</v>
      </c>
      <c r="B233" s="7">
        <f t="shared" si="3"/>
        <v>0</v>
      </c>
    </row>
    <row r="234" spans="1:2" x14ac:dyDescent="0.25">
      <c r="A234" s="9">
        <f>Data!G236</f>
        <v>-3.1924815266517917E-3</v>
      </c>
      <c r="B234" s="7">
        <f t="shared" si="3"/>
        <v>0</v>
      </c>
    </row>
    <row r="235" spans="1:2" x14ac:dyDescent="0.25">
      <c r="A235" s="9">
        <f>Data!G237</f>
        <v>-2.5549677930115497E-3</v>
      </c>
      <c r="B235" s="7">
        <f t="shared" si="3"/>
        <v>0</v>
      </c>
    </row>
    <row r="236" spans="1:2" x14ac:dyDescent="0.25">
      <c r="A236" s="9">
        <f>Data!G238</f>
        <v>5.7724222526876609E-3</v>
      </c>
      <c r="B236" s="7">
        <f t="shared" si="3"/>
        <v>1</v>
      </c>
    </row>
    <row r="237" spans="1:2" x14ac:dyDescent="0.25">
      <c r="A237" s="9">
        <f>Data!G239</f>
        <v>-2.6902934213358207E-3</v>
      </c>
      <c r="B237" s="7">
        <f t="shared" si="3"/>
        <v>0</v>
      </c>
    </row>
    <row r="238" spans="1:2" x14ac:dyDescent="0.25">
      <c r="A238" s="9">
        <f>Data!G240</f>
        <v>8.9918354134445929E-4</v>
      </c>
      <c r="B238" s="7">
        <f t="shared" si="3"/>
        <v>1</v>
      </c>
    </row>
    <row r="239" spans="1:2" x14ac:dyDescent="0.25">
      <c r="A239" s="9">
        <f>Data!G241</f>
        <v>-1.498490728762383E-2</v>
      </c>
      <c r="B239" s="7">
        <f t="shared" si="3"/>
        <v>0</v>
      </c>
    </row>
    <row r="240" spans="1:2" x14ac:dyDescent="0.25">
      <c r="A240" s="9">
        <f>Data!G242</f>
        <v>1.8240852212615373E-3</v>
      </c>
      <c r="B240" s="7">
        <f t="shared" si="3"/>
        <v>1</v>
      </c>
    </row>
    <row r="241" spans="1:2" x14ac:dyDescent="0.25">
      <c r="A241" s="9">
        <f>Data!G243</f>
        <v>-1.0087032518845048E-2</v>
      </c>
      <c r="B241" s="7">
        <f t="shared" si="3"/>
        <v>0</v>
      </c>
    </row>
    <row r="242" spans="1:2" x14ac:dyDescent="0.25">
      <c r="A242" s="9">
        <f>Data!G244</f>
        <v>1.287522071807029E-3</v>
      </c>
      <c r="B242" s="7">
        <f t="shared" si="3"/>
        <v>1</v>
      </c>
    </row>
    <row r="243" spans="1:2" x14ac:dyDescent="0.25">
      <c r="A243" s="9">
        <f>Data!G245</f>
        <v>5.4373783019215187E-3</v>
      </c>
      <c r="B243" s="7">
        <f t="shared" si="3"/>
        <v>1</v>
      </c>
    </row>
    <row r="244" spans="1:2" x14ac:dyDescent="0.25">
      <c r="A244" s="9">
        <f>Data!G246</f>
        <v>-9.8658968831073501E-3</v>
      </c>
      <c r="B244" s="7">
        <f t="shared" si="3"/>
        <v>0</v>
      </c>
    </row>
    <row r="245" spans="1:2" x14ac:dyDescent="0.25">
      <c r="A245" s="9">
        <f>Data!G247</f>
        <v>5.129719157102211E-3</v>
      </c>
      <c r="B245" s="7">
        <f t="shared" si="3"/>
        <v>1</v>
      </c>
    </row>
    <row r="246" spans="1:2" x14ac:dyDescent="0.25">
      <c r="A246" s="9">
        <f>Data!G248</f>
        <v>5.323836099280322E-3</v>
      </c>
      <c r="B246" s="7">
        <f t="shared" si="3"/>
        <v>1</v>
      </c>
    </row>
    <row r="247" spans="1:2" x14ac:dyDescent="0.25">
      <c r="A247" s="9">
        <f>Data!G249</f>
        <v>-1.4973887001936562E-3</v>
      </c>
      <c r="B247" s="7">
        <f t="shared" si="3"/>
        <v>0</v>
      </c>
    </row>
    <row r="248" spans="1:2" x14ac:dyDescent="0.25">
      <c r="A248" s="9">
        <f>Data!G250</f>
        <v>1.3167520117045124E-3</v>
      </c>
      <c r="B248" s="7">
        <f t="shared" si="3"/>
        <v>1</v>
      </c>
    </row>
    <row r="249" spans="1:2" x14ac:dyDescent="0.25">
      <c r="A249" s="9">
        <f>Data!G251</f>
        <v>-2.4839275277615679E-3</v>
      </c>
      <c r="B249" s="7">
        <f t="shared" si="3"/>
        <v>0</v>
      </c>
    </row>
    <row r="250" spans="1:2" x14ac:dyDescent="0.25">
      <c r="A250" s="9">
        <f>Data!G252</f>
        <v>-4.4675552951514959E-3</v>
      </c>
      <c r="B250" s="7">
        <f t="shared" si="3"/>
        <v>0</v>
      </c>
    </row>
  </sheetData>
  <mergeCells count="2">
    <mergeCell ref="E1:H1"/>
    <mergeCell ref="D14:N14"/>
  </mergeCells>
  <dataValidations count="2">
    <dataValidation type="list" allowBlank="1" showInputMessage="1" showErrorMessage="1" sqref="G4" xr:uid="{399228E9-208E-4E38-A1C0-BB54F5DCA5CF}">
      <formula1>"&gt;, &lt;, ≠"</formula1>
    </dataValidation>
    <dataValidation type="list" allowBlank="1" showInputMessage="1" showErrorMessage="1" sqref="F4" xr:uid="{A8B0803C-F173-4D69-BF09-9B7BDC5D16B3}">
      <formula1>"μ, σ, p"</formula1>
    </dataValidation>
  </dataValidations>
  <pageMargins left="0.7" right="0.7" top="0.75" bottom="0.75" header="0.3" footer="0.3"/>
  <ignoredErrors>
    <ignoredError sqref="H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94E5-A503-4A60-8775-A7277AE492D5}">
  <dimension ref="A1:M252"/>
  <sheetViews>
    <sheetView tabSelected="1" zoomScaleNormal="100" workbookViewId="0">
      <selection activeCell="L4" sqref="L4"/>
    </sheetView>
  </sheetViews>
  <sheetFormatPr defaultRowHeight="15" x14ac:dyDescent="0.25"/>
  <cols>
    <col min="1" max="1" width="11.42578125" customWidth="1"/>
    <col min="2" max="2" width="11.28515625" bestFit="1" customWidth="1"/>
    <col min="3" max="3" width="12.42578125" bestFit="1" customWidth="1"/>
    <col min="4" max="4" width="11.5703125" bestFit="1" customWidth="1"/>
    <col min="5" max="5" width="13.42578125" style="2" bestFit="1" customWidth="1"/>
    <col min="6" max="6" width="12.140625" bestFit="1" customWidth="1"/>
    <col min="7" max="7" width="22.5703125" style="3" bestFit="1" customWidth="1"/>
  </cols>
  <sheetData>
    <row r="1" spans="1:13" ht="18.75" x14ac:dyDescent="0.3">
      <c r="A1" s="6" t="s">
        <v>21</v>
      </c>
    </row>
    <row r="2" spans="1:13" x14ac:dyDescent="0.25">
      <c r="A2" t="s">
        <v>22</v>
      </c>
      <c r="B2" t="s">
        <v>25</v>
      </c>
      <c r="C2" t="s">
        <v>23</v>
      </c>
      <c r="D2" t="s">
        <v>24</v>
      </c>
      <c r="E2" s="2" t="s">
        <v>26</v>
      </c>
      <c r="F2" t="s">
        <v>27</v>
      </c>
      <c r="G2" s="3" t="s">
        <v>32</v>
      </c>
      <c r="H2" s="24" t="s">
        <v>33</v>
      </c>
      <c r="I2" s="24"/>
      <c r="J2" s="24"/>
      <c r="K2" s="24"/>
      <c r="L2" s="24"/>
      <c r="M2" s="25"/>
    </row>
    <row r="3" spans="1:13" x14ac:dyDescent="0.25">
      <c r="A3" s="1">
        <v>45659</v>
      </c>
      <c r="B3">
        <v>247.809</v>
      </c>
      <c r="C3">
        <v>247.97800000000001</v>
      </c>
      <c r="D3">
        <v>240.733</v>
      </c>
      <c r="E3" s="2">
        <v>242.75200000000001</v>
      </c>
      <c r="F3">
        <v>55992832</v>
      </c>
      <c r="G3" s="4" t="s">
        <v>29</v>
      </c>
      <c r="H3" s="24" t="s">
        <v>28</v>
      </c>
      <c r="I3" s="24"/>
      <c r="J3" s="24"/>
      <c r="K3" s="24"/>
    </row>
    <row r="4" spans="1:13" x14ac:dyDescent="0.25">
      <c r="A4" s="1">
        <v>45660</v>
      </c>
      <c r="B4">
        <v>242.26499999999999</v>
      </c>
      <c r="C4">
        <v>243.08099999999999</v>
      </c>
      <c r="D4">
        <v>240.80099999999999</v>
      </c>
      <c r="E4" s="2">
        <v>242.26499999999999</v>
      </c>
      <c r="F4">
        <v>40426127</v>
      </c>
      <c r="G4" s="3">
        <f>((E4-E3)/E3)*100%</f>
        <v>-2.0061626680728611E-3</v>
      </c>
    </row>
    <row r="5" spans="1:13" x14ac:dyDescent="0.25">
      <c r="A5" s="1">
        <v>45663</v>
      </c>
      <c r="B5">
        <v>243.21</v>
      </c>
      <c r="C5">
        <v>246.215</v>
      </c>
      <c r="D5">
        <v>242.10499999999999</v>
      </c>
      <c r="E5" s="2">
        <v>243.89699999999999</v>
      </c>
      <c r="F5">
        <v>45249300</v>
      </c>
      <c r="G5" s="3">
        <f t="shared" ref="G5:G68" si="0">((E5-E4)/E4)*100%</f>
        <v>6.7364249891647783E-3</v>
      </c>
    </row>
    <row r="6" spans="1:13" x14ac:dyDescent="0.25">
      <c r="A6" s="1">
        <v>45664</v>
      </c>
      <c r="B6">
        <v>241.886</v>
      </c>
      <c r="C6">
        <v>244.44399999999999</v>
      </c>
      <c r="D6">
        <v>240.26300000000001</v>
      </c>
      <c r="E6" s="2">
        <v>241.119</v>
      </c>
      <c r="F6">
        <v>41040741</v>
      </c>
      <c r="G6" s="3">
        <f t="shared" si="0"/>
        <v>-1.1390053998204126E-2</v>
      </c>
    </row>
    <row r="7" spans="1:13" x14ac:dyDescent="0.25">
      <c r="A7" s="1">
        <v>45665</v>
      </c>
      <c r="B7">
        <v>240.83099999999999</v>
      </c>
      <c r="C7">
        <v>242.61500000000001</v>
      </c>
      <c r="D7">
        <v>238.96899999999999</v>
      </c>
      <c r="E7" s="2">
        <v>241.608</v>
      </c>
      <c r="F7">
        <v>37799126</v>
      </c>
      <c r="G7" s="3">
        <f t="shared" si="0"/>
        <v>2.028044243713703E-3</v>
      </c>
    </row>
    <row r="8" spans="1:13" x14ac:dyDescent="0.25">
      <c r="A8" s="1">
        <v>45667</v>
      </c>
      <c r="B8">
        <v>238.929</v>
      </c>
      <c r="C8">
        <v>239.078</v>
      </c>
      <c r="D8">
        <v>231.95</v>
      </c>
      <c r="E8" s="2">
        <v>235.78299999999999</v>
      </c>
      <c r="F8">
        <v>61989958</v>
      </c>
      <c r="G8" s="3">
        <f t="shared" si="0"/>
        <v>-2.4109301016522703E-2</v>
      </c>
    </row>
    <row r="9" spans="1:13" x14ac:dyDescent="0.25">
      <c r="A9" s="1">
        <v>45670</v>
      </c>
      <c r="B9">
        <v>232.47900000000001</v>
      </c>
      <c r="C9">
        <v>233.614</v>
      </c>
      <c r="D9">
        <v>228.685</v>
      </c>
      <c r="E9" s="2">
        <v>233.345</v>
      </c>
      <c r="F9">
        <v>49855192</v>
      </c>
      <c r="G9" s="3">
        <f t="shared" si="0"/>
        <v>-1.0340016031690106E-2</v>
      </c>
    </row>
    <row r="10" spans="1:13" x14ac:dyDescent="0.25">
      <c r="A10" s="1">
        <v>45671</v>
      </c>
      <c r="B10">
        <v>233.69300000000001</v>
      </c>
      <c r="C10">
        <v>235.05699999999999</v>
      </c>
      <c r="D10">
        <v>231.42599999999999</v>
      </c>
      <c r="E10" s="2">
        <v>232.23</v>
      </c>
      <c r="F10">
        <v>39613650</v>
      </c>
      <c r="G10" s="3">
        <f t="shared" si="0"/>
        <v>-4.77833251194587E-3</v>
      </c>
    </row>
    <row r="11" spans="1:13" x14ac:dyDescent="0.25">
      <c r="A11" s="1">
        <v>45672</v>
      </c>
      <c r="B11">
        <v>233.57900000000001</v>
      </c>
      <c r="C11">
        <v>237.88399999999999</v>
      </c>
      <c r="D11">
        <v>233.375</v>
      </c>
      <c r="E11" s="2">
        <v>236.79900000000001</v>
      </c>
      <c r="F11">
        <v>40012118</v>
      </c>
      <c r="G11" s="3">
        <f t="shared" si="0"/>
        <v>1.9674460663996973E-2</v>
      </c>
    </row>
    <row r="12" spans="1:13" x14ac:dyDescent="0.25">
      <c r="A12" s="1">
        <v>45673</v>
      </c>
      <c r="B12">
        <v>236.28200000000001</v>
      </c>
      <c r="C12">
        <v>236.93899999999999</v>
      </c>
      <c r="D12">
        <v>227.00399999999999</v>
      </c>
      <c r="E12" s="2">
        <v>227.232</v>
      </c>
      <c r="F12">
        <v>72083600</v>
      </c>
      <c r="G12" s="3">
        <f t="shared" si="0"/>
        <v>-4.0401353046254446E-2</v>
      </c>
    </row>
    <row r="13" spans="1:13" x14ac:dyDescent="0.25">
      <c r="A13" s="1">
        <v>45674</v>
      </c>
      <c r="B13">
        <v>231.06899999999999</v>
      </c>
      <c r="C13">
        <v>231.244</v>
      </c>
      <c r="D13">
        <v>227.452</v>
      </c>
      <c r="E13" s="2">
        <v>228.94399999999999</v>
      </c>
      <c r="F13">
        <v>68798056</v>
      </c>
      <c r="G13" s="3">
        <f t="shared" si="0"/>
        <v>7.5341501197014023E-3</v>
      </c>
    </row>
    <row r="14" spans="1:13" x14ac:dyDescent="0.25">
      <c r="A14" s="1">
        <v>45678</v>
      </c>
      <c r="B14">
        <v>222.99199999999999</v>
      </c>
      <c r="C14">
        <v>223.40899999999999</v>
      </c>
      <c r="D14">
        <v>218.392</v>
      </c>
      <c r="E14" s="2">
        <v>221.637</v>
      </c>
      <c r="F14">
        <v>98513977</v>
      </c>
      <c r="G14" s="3">
        <f t="shared" si="0"/>
        <v>-3.1916101754140697E-2</v>
      </c>
    </row>
    <row r="15" spans="1:13" x14ac:dyDescent="0.25">
      <c r="A15" s="1">
        <v>45679</v>
      </c>
      <c r="B15">
        <v>218.8</v>
      </c>
      <c r="C15">
        <v>223.11199999999999</v>
      </c>
      <c r="D15">
        <v>218.8</v>
      </c>
      <c r="E15" s="2">
        <v>222.822</v>
      </c>
      <c r="F15">
        <v>64416527</v>
      </c>
      <c r="G15" s="3">
        <f t="shared" si="0"/>
        <v>5.3465802190067642E-3</v>
      </c>
    </row>
    <row r="16" spans="1:13" x14ac:dyDescent="0.25">
      <c r="A16" s="1">
        <v>45680</v>
      </c>
      <c r="B16">
        <v>223.72800000000001</v>
      </c>
      <c r="C16">
        <v>226.00800000000001</v>
      </c>
      <c r="D16">
        <v>221.29900000000001</v>
      </c>
      <c r="E16" s="2">
        <v>222.65199999999999</v>
      </c>
      <c r="F16">
        <v>60507186</v>
      </c>
      <c r="G16" s="3">
        <f t="shared" si="0"/>
        <v>-7.6294082271955159E-4</v>
      </c>
    </row>
    <row r="17" spans="1:7" x14ac:dyDescent="0.25">
      <c r="A17" s="1">
        <v>45681</v>
      </c>
      <c r="B17">
        <v>223.768</v>
      </c>
      <c r="C17">
        <v>224.614</v>
      </c>
      <c r="D17">
        <v>220.41300000000001</v>
      </c>
      <c r="E17" s="2">
        <v>221.77699999999999</v>
      </c>
      <c r="F17">
        <v>54945292</v>
      </c>
      <c r="G17" s="3">
        <f t="shared" si="0"/>
        <v>-3.9298995742234524E-3</v>
      </c>
    </row>
    <row r="18" spans="1:7" x14ac:dyDescent="0.25">
      <c r="A18" s="1">
        <v>45684</v>
      </c>
      <c r="B18">
        <v>223.012</v>
      </c>
      <c r="C18">
        <v>231.10400000000001</v>
      </c>
      <c r="D18">
        <v>222.97200000000001</v>
      </c>
      <c r="E18" s="2">
        <v>228.82499999999999</v>
      </c>
      <c r="F18">
        <v>95292461</v>
      </c>
      <c r="G18" s="3">
        <f t="shared" si="0"/>
        <v>3.1779670569986977E-2</v>
      </c>
    </row>
    <row r="19" spans="1:7" x14ac:dyDescent="0.25">
      <c r="A19" s="1">
        <v>45685</v>
      </c>
      <c r="B19">
        <v>229.81</v>
      </c>
      <c r="C19">
        <v>239.108</v>
      </c>
      <c r="D19">
        <v>229.77099999999999</v>
      </c>
      <c r="E19" s="2">
        <v>237.18700000000001</v>
      </c>
      <c r="F19">
        <v>76049976</v>
      </c>
      <c r="G19" s="3">
        <f t="shared" si="0"/>
        <v>3.654320987654331E-2</v>
      </c>
    </row>
    <row r="20" spans="1:7" x14ac:dyDescent="0.25">
      <c r="A20" s="1">
        <v>45686</v>
      </c>
      <c r="B20">
        <v>233.066</v>
      </c>
      <c r="C20">
        <v>238.77600000000001</v>
      </c>
      <c r="D20">
        <v>232.95599999999999</v>
      </c>
      <c r="E20" s="2">
        <v>238.28200000000001</v>
      </c>
      <c r="F20">
        <v>45691822</v>
      </c>
      <c r="G20" s="3">
        <f t="shared" si="0"/>
        <v>4.6166105224991205E-3</v>
      </c>
    </row>
    <row r="21" spans="1:7" x14ac:dyDescent="0.25">
      <c r="A21" s="1">
        <v>45687</v>
      </c>
      <c r="B21">
        <v>237.59100000000001</v>
      </c>
      <c r="C21">
        <v>239.70699999999999</v>
      </c>
      <c r="D21">
        <v>236.142</v>
      </c>
      <c r="E21" s="2">
        <v>236.52</v>
      </c>
      <c r="F21">
        <v>55910007</v>
      </c>
      <c r="G21" s="3">
        <f t="shared" si="0"/>
        <v>-7.3945996760141361E-3</v>
      </c>
    </row>
    <row r="22" spans="1:7" x14ac:dyDescent="0.25">
      <c r="A22" s="1">
        <v>45688</v>
      </c>
      <c r="B22">
        <v>246.077</v>
      </c>
      <c r="C22">
        <v>246.077</v>
      </c>
      <c r="D22">
        <v>232.39</v>
      </c>
      <c r="E22" s="2">
        <v>234.93700000000001</v>
      </c>
      <c r="F22">
        <v>101532266</v>
      </c>
      <c r="G22" s="3">
        <f t="shared" si="0"/>
        <v>-6.6928800947065716E-3</v>
      </c>
    </row>
    <row r="23" spans="1:7" x14ac:dyDescent="0.25">
      <c r="A23" s="1">
        <v>45691</v>
      </c>
      <c r="B23">
        <v>228.95400000000001</v>
      </c>
      <c r="C23">
        <v>230.786</v>
      </c>
      <c r="D23">
        <v>224.684</v>
      </c>
      <c r="E23" s="2">
        <v>226.98400000000001</v>
      </c>
      <c r="F23">
        <v>73393748</v>
      </c>
      <c r="G23" s="3">
        <f t="shared" si="0"/>
        <v>-3.3851628308865789E-2</v>
      </c>
    </row>
    <row r="24" spans="1:7" x14ac:dyDescent="0.25">
      <c r="A24" s="1">
        <v>45692</v>
      </c>
      <c r="B24">
        <v>226.227</v>
      </c>
      <c r="C24">
        <v>232.08</v>
      </c>
      <c r="D24">
        <v>225.62899999999999</v>
      </c>
      <c r="E24" s="2">
        <v>231.751</v>
      </c>
      <c r="F24">
        <v>45271128</v>
      </c>
      <c r="G24" s="3">
        <f t="shared" si="0"/>
        <v>2.100148028054839E-2</v>
      </c>
    </row>
    <row r="25" spans="1:7" x14ac:dyDescent="0.25">
      <c r="A25" s="1">
        <v>45693</v>
      </c>
      <c r="B25">
        <v>227.501</v>
      </c>
      <c r="C25">
        <v>231.62200000000001</v>
      </c>
      <c r="D25">
        <v>227.24199999999999</v>
      </c>
      <c r="E25" s="2">
        <v>231.42400000000001</v>
      </c>
      <c r="F25">
        <v>39844383</v>
      </c>
      <c r="G25" s="3">
        <f t="shared" si="0"/>
        <v>-1.4109971478008646E-3</v>
      </c>
    </row>
    <row r="26" spans="1:7" x14ac:dyDescent="0.25">
      <c r="A26" s="1">
        <v>45694</v>
      </c>
      <c r="B26">
        <v>230.24299999999999</v>
      </c>
      <c r="C26">
        <v>232.74700000000001</v>
      </c>
      <c r="D26">
        <v>229.38800000000001</v>
      </c>
      <c r="E26" s="2">
        <v>232.17</v>
      </c>
      <c r="F26">
        <v>30060693</v>
      </c>
      <c r="G26" s="3">
        <f t="shared" si="0"/>
        <v>3.2235204646016871E-3</v>
      </c>
    </row>
    <row r="27" spans="1:7" x14ac:dyDescent="0.25">
      <c r="A27" s="1">
        <v>45695</v>
      </c>
      <c r="B27">
        <v>231.554</v>
      </c>
      <c r="C27">
        <v>232.946</v>
      </c>
      <c r="D27">
        <v>226.23699999999999</v>
      </c>
      <c r="E27" s="2">
        <v>226.60499999999999</v>
      </c>
      <c r="F27">
        <v>39886809</v>
      </c>
      <c r="G27" s="3">
        <f t="shared" si="0"/>
        <v>-2.3969505104018598E-2</v>
      </c>
    </row>
    <row r="28" spans="1:7" x14ac:dyDescent="0.25">
      <c r="A28" s="1">
        <v>45698</v>
      </c>
      <c r="B28">
        <v>228.78700000000001</v>
      </c>
      <c r="C28">
        <v>229.79900000000001</v>
      </c>
      <c r="D28">
        <v>226.42599999999999</v>
      </c>
      <c r="E28" s="2">
        <v>226.874</v>
      </c>
      <c r="F28">
        <v>33228884</v>
      </c>
      <c r="G28" s="3">
        <f t="shared" si="0"/>
        <v>1.1870876635555502E-3</v>
      </c>
    </row>
    <row r="29" spans="1:7" x14ac:dyDescent="0.25">
      <c r="A29" s="1">
        <v>45699</v>
      </c>
      <c r="B29">
        <v>227.423</v>
      </c>
      <c r="C29">
        <v>234.429</v>
      </c>
      <c r="D29">
        <v>227.35300000000001</v>
      </c>
      <c r="E29" s="2">
        <v>231.827</v>
      </c>
      <c r="F29">
        <v>53902052</v>
      </c>
      <c r="G29" s="3">
        <f t="shared" si="0"/>
        <v>2.1831501185680172E-2</v>
      </c>
    </row>
    <row r="30" spans="1:7" x14ac:dyDescent="0.25">
      <c r="A30" s="1">
        <v>45700</v>
      </c>
      <c r="B30">
        <v>230.41200000000001</v>
      </c>
      <c r="C30">
        <v>236.15299999999999</v>
      </c>
      <c r="D30">
        <v>229.89400000000001</v>
      </c>
      <c r="E30" s="2">
        <v>236.06299999999999</v>
      </c>
      <c r="F30">
        <v>45398002</v>
      </c>
      <c r="G30" s="3">
        <f t="shared" si="0"/>
        <v>1.8272246114559521E-2</v>
      </c>
    </row>
    <row r="31" spans="1:7" x14ac:dyDescent="0.25">
      <c r="A31" s="1">
        <v>45701</v>
      </c>
      <c r="B31">
        <v>236.10300000000001</v>
      </c>
      <c r="C31">
        <v>241.51400000000001</v>
      </c>
      <c r="D31">
        <v>234.76599999999999</v>
      </c>
      <c r="E31" s="2">
        <v>240.708</v>
      </c>
      <c r="F31">
        <v>53797388</v>
      </c>
      <c r="G31" s="3">
        <f t="shared" si="0"/>
        <v>1.9676950644531378E-2</v>
      </c>
    </row>
    <row r="32" spans="1:7" x14ac:dyDescent="0.25">
      <c r="A32" s="1">
        <v>45702</v>
      </c>
      <c r="B32">
        <v>240.428</v>
      </c>
      <c r="C32">
        <v>244.71299999999999</v>
      </c>
      <c r="D32">
        <v>240.16800000000001</v>
      </c>
      <c r="E32" s="2">
        <v>243.767</v>
      </c>
      <c r="F32">
        <v>41036072</v>
      </c>
      <c r="G32" s="3">
        <f t="shared" si="0"/>
        <v>1.2708343719361208E-2</v>
      </c>
    </row>
    <row r="33" spans="1:7" x14ac:dyDescent="0.25">
      <c r="A33" s="1">
        <v>45706</v>
      </c>
      <c r="B33">
        <v>243.07900000000001</v>
      </c>
      <c r="C33">
        <v>244.34399999999999</v>
      </c>
      <c r="D33">
        <v>241.01499999999999</v>
      </c>
      <c r="E33" s="2">
        <v>243.637</v>
      </c>
      <c r="F33">
        <v>48989440</v>
      </c>
      <c r="G33" s="3">
        <f t="shared" si="0"/>
        <v>-5.3329613934616031E-4</v>
      </c>
    </row>
    <row r="34" spans="1:7" x14ac:dyDescent="0.25">
      <c r="A34" s="1">
        <v>45707</v>
      </c>
      <c r="B34">
        <v>243.827</v>
      </c>
      <c r="C34">
        <v>245.17099999999999</v>
      </c>
      <c r="D34">
        <v>242.33199999999999</v>
      </c>
      <c r="E34" s="2">
        <v>244.035</v>
      </c>
      <c r="F34">
        <v>32314337</v>
      </c>
      <c r="G34" s="3">
        <f t="shared" si="0"/>
        <v>1.6335778227444769E-3</v>
      </c>
    </row>
    <row r="35" spans="1:7" x14ac:dyDescent="0.25">
      <c r="A35" s="1">
        <v>45708</v>
      </c>
      <c r="B35">
        <v>244.10499999999999</v>
      </c>
      <c r="C35">
        <v>245.94</v>
      </c>
      <c r="D35">
        <v>243.45699999999999</v>
      </c>
      <c r="E35" s="2">
        <v>244.99299999999999</v>
      </c>
      <c r="F35">
        <v>32427415</v>
      </c>
      <c r="G35" s="3">
        <f t="shared" si="0"/>
        <v>3.9256664003114242E-3</v>
      </c>
    </row>
    <row r="36" spans="1:7" x14ac:dyDescent="0.25">
      <c r="A36" s="1">
        <v>45709</v>
      </c>
      <c r="B36">
        <v>245.11199999999999</v>
      </c>
      <c r="C36">
        <v>247.84200000000001</v>
      </c>
      <c r="D36">
        <v>244.38399999999999</v>
      </c>
      <c r="E36" s="2">
        <v>244.71299999999999</v>
      </c>
      <c r="F36">
        <v>53379340</v>
      </c>
      <c r="G36" s="3">
        <f t="shared" si="0"/>
        <v>-1.1428897968513432E-3</v>
      </c>
    </row>
    <row r="37" spans="1:7" x14ac:dyDescent="0.25">
      <c r="A37" s="1">
        <v>45712</v>
      </c>
      <c r="B37">
        <v>244.09</v>
      </c>
      <c r="C37">
        <v>248.012</v>
      </c>
      <c r="D37">
        <v>243.58699999999999</v>
      </c>
      <c r="E37" s="2">
        <v>246.32900000000001</v>
      </c>
      <c r="F37">
        <v>51501907</v>
      </c>
      <c r="G37" s="3">
        <f t="shared" si="0"/>
        <v>6.6036540764079308E-3</v>
      </c>
    </row>
    <row r="38" spans="1:7" x14ac:dyDescent="0.25">
      <c r="A38" s="1">
        <v>45713</v>
      </c>
      <c r="B38">
        <v>247.154</v>
      </c>
      <c r="C38">
        <v>249.148</v>
      </c>
      <c r="D38">
        <v>244.07499999999999</v>
      </c>
      <c r="E38" s="2">
        <v>246.197</v>
      </c>
      <c r="F38">
        <v>48177454</v>
      </c>
      <c r="G38" s="3">
        <f t="shared" si="0"/>
        <v>-5.3586869593107188E-4</v>
      </c>
    </row>
    <row r="39" spans="1:7" x14ac:dyDescent="0.25">
      <c r="A39" s="1">
        <v>45714</v>
      </c>
      <c r="B39">
        <v>243.49700000000001</v>
      </c>
      <c r="C39">
        <v>244.14500000000001</v>
      </c>
      <c r="D39">
        <v>238.315</v>
      </c>
      <c r="E39" s="2">
        <v>239.541</v>
      </c>
      <c r="F39">
        <v>44585505</v>
      </c>
      <c r="G39" s="3">
        <f t="shared" si="0"/>
        <v>-2.7035260380914496E-2</v>
      </c>
    </row>
    <row r="40" spans="1:7" x14ac:dyDescent="0.25">
      <c r="A40" s="1">
        <v>45715</v>
      </c>
      <c r="B40">
        <v>238.59399999999999</v>
      </c>
      <c r="C40">
        <v>241.63300000000001</v>
      </c>
      <c r="D40">
        <v>236.25299999999999</v>
      </c>
      <c r="E40" s="2">
        <v>236.49100000000001</v>
      </c>
      <c r="F40">
        <v>41294364</v>
      </c>
      <c r="G40" s="3">
        <f t="shared" si="0"/>
        <v>-1.2732684592616643E-2</v>
      </c>
    </row>
    <row r="41" spans="1:7" x14ac:dyDescent="0.25">
      <c r="A41" s="1">
        <v>45716</v>
      </c>
      <c r="B41">
        <v>236.143</v>
      </c>
      <c r="C41">
        <v>241.26499999999999</v>
      </c>
      <c r="D41">
        <v>229.416</v>
      </c>
      <c r="E41" s="2">
        <v>241.01499999999999</v>
      </c>
      <c r="F41">
        <v>57027702</v>
      </c>
      <c r="G41" s="3">
        <f t="shared" si="0"/>
        <v>1.9129692039020395E-2</v>
      </c>
    </row>
    <row r="42" spans="1:7" x14ac:dyDescent="0.25">
      <c r="A42" s="1">
        <v>45719</v>
      </c>
      <c r="B42">
        <v>240.965</v>
      </c>
      <c r="C42">
        <v>243.196</v>
      </c>
      <c r="D42">
        <v>235.30799999999999</v>
      </c>
      <c r="E42" s="2">
        <v>237.21899999999999</v>
      </c>
      <c r="F42">
        <v>47345331</v>
      </c>
      <c r="G42" s="3">
        <f t="shared" si="0"/>
        <v>-1.5750057050391023E-2</v>
      </c>
    </row>
    <row r="43" spans="1:7" x14ac:dyDescent="0.25">
      <c r="A43" s="1">
        <v>45720</v>
      </c>
      <c r="B43">
        <v>236.89500000000001</v>
      </c>
      <c r="C43">
        <v>239.25200000000001</v>
      </c>
      <c r="D43">
        <v>233.88</v>
      </c>
      <c r="E43" s="2">
        <v>235.126</v>
      </c>
      <c r="F43">
        <v>53982025</v>
      </c>
      <c r="G43" s="3">
        <f t="shared" si="0"/>
        <v>-8.8230706646600376E-3</v>
      </c>
    </row>
    <row r="44" spans="1:7" x14ac:dyDescent="0.25">
      <c r="A44" s="1">
        <v>45721</v>
      </c>
      <c r="B44">
        <v>234.61799999999999</v>
      </c>
      <c r="C44">
        <v>235.74299999999999</v>
      </c>
      <c r="D44">
        <v>228.44900000000001</v>
      </c>
      <c r="E44" s="2">
        <v>234.93600000000001</v>
      </c>
      <c r="F44">
        <v>47389138</v>
      </c>
      <c r="G44" s="3">
        <f t="shared" si="0"/>
        <v>-8.080773712817711E-4</v>
      </c>
    </row>
    <row r="45" spans="1:7" x14ac:dyDescent="0.25">
      <c r="A45" s="1">
        <v>45722</v>
      </c>
      <c r="B45">
        <v>233.637</v>
      </c>
      <c r="C45">
        <v>237.04900000000001</v>
      </c>
      <c r="D45">
        <v>232.364</v>
      </c>
      <c r="E45" s="2">
        <v>234.529</v>
      </c>
      <c r="F45">
        <v>45324880</v>
      </c>
      <c r="G45" s="3">
        <f t="shared" si="0"/>
        <v>-1.7323866925461006E-3</v>
      </c>
    </row>
    <row r="46" spans="1:7" x14ac:dyDescent="0.25">
      <c r="A46" s="1">
        <v>45723</v>
      </c>
      <c r="B46">
        <v>234.304</v>
      </c>
      <c r="C46">
        <v>240.548</v>
      </c>
      <c r="D46">
        <v>233.96</v>
      </c>
      <c r="E46" s="2">
        <v>238.255</v>
      </c>
      <c r="F46">
        <v>46431798</v>
      </c>
      <c r="G46" s="3">
        <f t="shared" si="0"/>
        <v>1.5887161076028975E-2</v>
      </c>
    </row>
    <row r="47" spans="1:7" x14ac:dyDescent="0.25">
      <c r="A47" s="1">
        <v>45726</v>
      </c>
      <c r="B47">
        <v>234.73699999999999</v>
      </c>
      <c r="C47">
        <v>235.35599999999999</v>
      </c>
      <c r="D47">
        <v>223.45500000000001</v>
      </c>
      <c r="E47" s="2">
        <v>226.70400000000001</v>
      </c>
      <c r="F47">
        <v>72317645</v>
      </c>
      <c r="G47" s="3">
        <f t="shared" si="0"/>
        <v>-4.8481668800234995E-2</v>
      </c>
    </row>
    <row r="48" spans="1:7" x14ac:dyDescent="0.25">
      <c r="A48" s="1">
        <v>45727</v>
      </c>
      <c r="B48">
        <v>223.04300000000001</v>
      </c>
      <c r="C48">
        <v>225.07</v>
      </c>
      <c r="D48">
        <v>216.709</v>
      </c>
      <c r="E48" s="2">
        <v>220.08799999999999</v>
      </c>
      <c r="F48">
        <v>76397763</v>
      </c>
      <c r="G48" s="3">
        <f t="shared" si="0"/>
        <v>-2.9183428611758124E-2</v>
      </c>
    </row>
    <row r="49" spans="1:7" x14ac:dyDescent="0.25">
      <c r="A49" s="1">
        <v>45728</v>
      </c>
      <c r="B49">
        <v>219.39</v>
      </c>
      <c r="C49">
        <v>220.995</v>
      </c>
      <c r="D49">
        <v>214.178</v>
      </c>
      <c r="E49" s="2">
        <v>216.24</v>
      </c>
      <c r="F49">
        <v>62761349</v>
      </c>
      <c r="G49" s="3">
        <f t="shared" si="0"/>
        <v>-1.7483915524699141E-2</v>
      </c>
    </row>
    <row r="50" spans="1:7" x14ac:dyDescent="0.25">
      <c r="A50" s="1">
        <v>45729</v>
      </c>
      <c r="B50">
        <v>215.214</v>
      </c>
      <c r="C50">
        <v>216.101</v>
      </c>
      <c r="D50">
        <v>207.71</v>
      </c>
      <c r="E50" s="2">
        <v>208.965</v>
      </c>
      <c r="F50">
        <v>61578180</v>
      </c>
      <c r="G50" s="3">
        <f t="shared" si="0"/>
        <v>-3.3643174250832436E-2</v>
      </c>
    </row>
    <row r="51" spans="1:7" x14ac:dyDescent="0.25">
      <c r="A51" s="1">
        <v>45730</v>
      </c>
      <c r="B51">
        <v>210.53</v>
      </c>
      <c r="C51">
        <v>213.221</v>
      </c>
      <c r="D51">
        <v>208.86699999999999</v>
      </c>
      <c r="E51" s="2">
        <v>212.762</v>
      </c>
      <c r="F51">
        <v>60313121</v>
      </c>
      <c r="G51" s="3">
        <f t="shared" si="0"/>
        <v>1.8170507022707137E-2</v>
      </c>
    </row>
    <row r="52" spans="1:7" x14ac:dyDescent="0.25">
      <c r="A52" s="1">
        <v>45733</v>
      </c>
      <c r="B52">
        <v>212.583</v>
      </c>
      <c r="C52">
        <v>214.48599999999999</v>
      </c>
      <c r="D52">
        <v>209.25399999999999</v>
      </c>
      <c r="E52" s="2">
        <v>213.27099999999999</v>
      </c>
      <c r="F52">
        <v>48237813</v>
      </c>
      <c r="G52" s="3">
        <f t="shared" si="0"/>
        <v>2.3923444976075904E-3</v>
      </c>
    </row>
    <row r="53" spans="1:7" x14ac:dyDescent="0.25">
      <c r="A53" s="1">
        <v>45734</v>
      </c>
      <c r="B53">
        <v>213.43100000000001</v>
      </c>
      <c r="C53">
        <v>214.416</v>
      </c>
      <c r="D53">
        <v>210.77</v>
      </c>
      <c r="E53" s="2">
        <v>211.965</v>
      </c>
      <c r="F53">
        <v>42577524</v>
      </c>
      <c r="G53" s="3">
        <f t="shared" si="0"/>
        <v>-6.1236642581503501E-3</v>
      </c>
    </row>
    <row r="54" spans="1:7" x14ac:dyDescent="0.25">
      <c r="A54" s="1">
        <v>45735</v>
      </c>
      <c r="B54">
        <v>213.489</v>
      </c>
      <c r="C54">
        <v>218.01499999999999</v>
      </c>
      <c r="D54">
        <v>213.02099999999999</v>
      </c>
      <c r="E54" s="2">
        <v>214.506</v>
      </c>
      <c r="F54">
        <v>54571362</v>
      </c>
      <c r="G54" s="3">
        <f t="shared" si="0"/>
        <v>1.198782817918051E-2</v>
      </c>
    </row>
    <row r="55" spans="1:7" x14ac:dyDescent="0.25">
      <c r="A55" s="1">
        <v>45736</v>
      </c>
      <c r="B55">
        <v>213.261</v>
      </c>
      <c r="C55">
        <v>216.749</v>
      </c>
      <c r="D55">
        <v>211.49700000000001</v>
      </c>
      <c r="E55" s="2">
        <v>213.37100000000001</v>
      </c>
      <c r="F55">
        <v>49030034</v>
      </c>
      <c r="G55" s="3">
        <f t="shared" si="0"/>
        <v>-5.2912272850176257E-3</v>
      </c>
    </row>
    <row r="56" spans="1:7" x14ac:dyDescent="0.25">
      <c r="A56" s="1">
        <v>45737</v>
      </c>
      <c r="B56">
        <v>210.839</v>
      </c>
      <c r="C56">
        <v>218.09399999999999</v>
      </c>
      <c r="D56">
        <v>210.56</v>
      </c>
      <c r="E56" s="2">
        <v>217.52600000000001</v>
      </c>
      <c r="F56">
        <v>94449639</v>
      </c>
      <c r="G56" s="3">
        <f t="shared" si="0"/>
        <v>1.9473124276494936E-2</v>
      </c>
    </row>
    <row r="57" spans="1:7" x14ac:dyDescent="0.25">
      <c r="A57" s="1">
        <v>45740</v>
      </c>
      <c r="B57">
        <v>220.24700000000001</v>
      </c>
      <c r="C57">
        <v>220.72499999999999</v>
      </c>
      <c r="D57">
        <v>217.83600000000001</v>
      </c>
      <c r="E57" s="2">
        <v>219.97800000000001</v>
      </c>
      <c r="F57">
        <v>44450965</v>
      </c>
      <c r="G57" s="3">
        <f t="shared" si="0"/>
        <v>1.1272215735130504E-2</v>
      </c>
    </row>
    <row r="58" spans="1:7" x14ac:dyDescent="0.25">
      <c r="A58" s="1">
        <v>45741</v>
      </c>
      <c r="B58">
        <v>220.018</v>
      </c>
      <c r="C58">
        <v>223.33600000000001</v>
      </c>
      <c r="D58">
        <v>219.33</v>
      </c>
      <c r="E58" s="2">
        <v>222.988</v>
      </c>
      <c r="F58">
        <v>34611534</v>
      </c>
      <c r="G58" s="3">
        <f t="shared" si="0"/>
        <v>1.3683186500468186E-2</v>
      </c>
    </row>
    <row r="59" spans="1:7" x14ac:dyDescent="0.25">
      <c r="A59" s="1">
        <v>45742</v>
      </c>
      <c r="B59">
        <v>222.74799999999999</v>
      </c>
      <c r="C59">
        <v>224.25299999999999</v>
      </c>
      <c r="D59">
        <v>219.71799999999999</v>
      </c>
      <c r="E59" s="2">
        <v>220.77500000000001</v>
      </c>
      <c r="F59">
        <v>34650741</v>
      </c>
      <c r="G59" s="3">
        <f t="shared" si="0"/>
        <v>-9.9243008592390346E-3</v>
      </c>
    </row>
    <row r="60" spans="1:7" x14ac:dyDescent="0.25">
      <c r="A60" s="1">
        <v>45743</v>
      </c>
      <c r="B60">
        <v>220.63499999999999</v>
      </c>
      <c r="C60">
        <v>224.22300000000001</v>
      </c>
      <c r="D60">
        <v>219.80799999999999</v>
      </c>
      <c r="E60" s="2">
        <v>223.08799999999999</v>
      </c>
      <c r="F60">
        <v>37221620</v>
      </c>
      <c r="G60" s="3">
        <f t="shared" si="0"/>
        <v>1.0476729702185428E-2</v>
      </c>
    </row>
    <row r="61" spans="1:7" x14ac:dyDescent="0.25">
      <c r="A61" s="1">
        <v>45744</v>
      </c>
      <c r="B61">
        <v>220.91499999999999</v>
      </c>
      <c r="C61">
        <v>223.048</v>
      </c>
      <c r="D61">
        <v>216.93899999999999</v>
      </c>
      <c r="E61" s="2">
        <v>217.15700000000001</v>
      </c>
      <c r="F61">
        <v>39954777</v>
      </c>
      <c r="G61" s="3">
        <f t="shared" si="0"/>
        <v>-2.658592125080678E-2</v>
      </c>
    </row>
    <row r="62" spans="1:7" x14ac:dyDescent="0.25">
      <c r="A62" s="1">
        <v>45747</v>
      </c>
      <c r="B62">
        <v>216.26499999999999</v>
      </c>
      <c r="C62">
        <v>224.852</v>
      </c>
      <c r="D62">
        <v>215.49299999999999</v>
      </c>
      <c r="E62" s="2">
        <v>221.37299999999999</v>
      </c>
      <c r="F62">
        <v>65522613</v>
      </c>
      <c r="G62" s="3">
        <f t="shared" si="0"/>
        <v>1.9414524975017982E-2</v>
      </c>
    </row>
    <row r="63" spans="1:7" x14ac:dyDescent="0.25">
      <c r="A63" s="1">
        <v>45748</v>
      </c>
      <c r="B63">
        <v>219.05600000000001</v>
      </c>
      <c r="C63">
        <v>222.91800000000001</v>
      </c>
      <c r="D63">
        <v>218.154</v>
      </c>
      <c r="E63" s="2">
        <v>222.429</v>
      </c>
      <c r="F63">
        <v>36537254</v>
      </c>
      <c r="G63" s="3">
        <f t="shared" si="0"/>
        <v>4.7702294317735752E-3</v>
      </c>
    </row>
    <row r="64" spans="1:7" x14ac:dyDescent="0.25">
      <c r="A64" s="1">
        <v>45749</v>
      </c>
      <c r="B64">
        <v>220.56</v>
      </c>
      <c r="C64">
        <v>224.422</v>
      </c>
      <c r="D64">
        <v>220.267</v>
      </c>
      <c r="E64" s="2">
        <v>223.12799999999999</v>
      </c>
      <c r="F64">
        <v>36028684</v>
      </c>
      <c r="G64" s="3">
        <f t="shared" si="0"/>
        <v>3.1425758331871468E-3</v>
      </c>
    </row>
    <row r="65" spans="1:7" x14ac:dyDescent="0.25">
      <c r="A65" s="1">
        <v>45750</v>
      </c>
      <c r="B65">
        <v>204.839</v>
      </c>
      <c r="C65">
        <v>206.78299999999999</v>
      </c>
      <c r="D65">
        <v>200.56399999999999</v>
      </c>
      <c r="E65" s="2">
        <v>202.49799999999999</v>
      </c>
      <c r="F65">
        <v>103772649</v>
      </c>
      <c r="G65" s="3">
        <f t="shared" si="0"/>
        <v>-9.24581406188376E-2</v>
      </c>
    </row>
    <row r="66" spans="1:7" x14ac:dyDescent="0.25">
      <c r="A66" s="1">
        <v>45751</v>
      </c>
      <c r="B66">
        <v>193.22900000000001</v>
      </c>
      <c r="C66">
        <v>199.19900000000001</v>
      </c>
      <c r="D66">
        <v>186.702</v>
      </c>
      <c r="E66" s="2">
        <v>187.738</v>
      </c>
      <c r="F66">
        <v>126341467</v>
      </c>
      <c r="G66" s="3">
        <f t="shared" si="0"/>
        <v>-7.288960878625958E-2</v>
      </c>
    </row>
    <row r="67" spans="1:7" x14ac:dyDescent="0.25">
      <c r="A67" s="1">
        <v>45754</v>
      </c>
      <c r="B67">
        <v>176.596</v>
      </c>
      <c r="C67">
        <v>193.488</v>
      </c>
      <c r="D67">
        <v>174.024</v>
      </c>
      <c r="E67" s="2">
        <v>180.84200000000001</v>
      </c>
      <c r="F67">
        <v>161015003</v>
      </c>
      <c r="G67" s="3">
        <f t="shared" si="0"/>
        <v>-3.673204146203745E-2</v>
      </c>
    </row>
    <row r="68" spans="1:7" x14ac:dyDescent="0.25">
      <c r="A68" s="1">
        <v>45755</v>
      </c>
      <c r="B68">
        <v>186.06399999999999</v>
      </c>
      <c r="C68">
        <v>189.68700000000001</v>
      </c>
      <c r="D68">
        <v>168.63300000000001</v>
      </c>
      <c r="E68" s="2">
        <v>171.83199999999999</v>
      </c>
      <c r="F68">
        <v>121272772</v>
      </c>
      <c r="G68" s="3">
        <f t="shared" si="0"/>
        <v>-4.9822496986319652E-2</v>
      </c>
    </row>
    <row r="69" spans="1:7" x14ac:dyDescent="0.25">
      <c r="A69" s="1">
        <v>45756</v>
      </c>
      <c r="B69">
        <v>171.364</v>
      </c>
      <c r="C69">
        <v>199.92599999999999</v>
      </c>
      <c r="D69">
        <v>171.304</v>
      </c>
      <c r="E69" s="2">
        <v>198.173</v>
      </c>
      <c r="F69">
        <v>185026430</v>
      </c>
      <c r="G69" s="3">
        <f t="shared" ref="G69:G132" si="1">((E69-E68)/E68)*100%</f>
        <v>0.15329507891428842</v>
      </c>
    </row>
    <row r="70" spans="1:7" x14ac:dyDescent="0.25">
      <c r="A70" s="1">
        <v>45757</v>
      </c>
      <c r="B70">
        <v>188.42</v>
      </c>
      <c r="C70">
        <v>194.11600000000001</v>
      </c>
      <c r="D70">
        <v>182.376</v>
      </c>
      <c r="E70" s="2">
        <v>189.77099999999999</v>
      </c>
      <c r="F70">
        <v>122296751</v>
      </c>
      <c r="G70" s="3">
        <f t="shared" si="1"/>
        <v>-4.2397299329373909E-2</v>
      </c>
    </row>
    <row r="71" spans="1:7" x14ac:dyDescent="0.25">
      <c r="A71" s="1">
        <v>45758</v>
      </c>
      <c r="B71">
        <v>185.465</v>
      </c>
      <c r="C71">
        <v>198.86</v>
      </c>
      <c r="D71">
        <v>185.42500000000001</v>
      </c>
      <c r="E71" s="2">
        <v>197.47499999999999</v>
      </c>
      <c r="F71">
        <v>87734903</v>
      </c>
      <c r="G71" s="3">
        <f t="shared" si="1"/>
        <v>4.0596297642948649E-2</v>
      </c>
    </row>
    <row r="72" spans="1:7" x14ac:dyDescent="0.25">
      <c r="A72" s="1">
        <v>45761</v>
      </c>
      <c r="B72">
        <v>210.72</v>
      </c>
      <c r="C72">
        <v>212.214</v>
      </c>
      <c r="D72">
        <v>200.477</v>
      </c>
      <c r="E72" s="2">
        <v>201.83</v>
      </c>
      <c r="F72">
        <v>101699489</v>
      </c>
      <c r="G72" s="3">
        <f t="shared" si="1"/>
        <v>2.2053424484112006E-2</v>
      </c>
    </row>
    <row r="73" spans="1:7" x14ac:dyDescent="0.25">
      <c r="A73" s="1">
        <v>45762</v>
      </c>
      <c r="B73">
        <v>201.167</v>
      </c>
      <c r="C73">
        <v>202.816</v>
      </c>
      <c r="D73">
        <v>199.119</v>
      </c>
      <c r="E73" s="2">
        <v>201.45099999999999</v>
      </c>
      <c r="F73">
        <v>51519443</v>
      </c>
      <c r="G73" s="3">
        <f t="shared" si="1"/>
        <v>-1.8778179656147207E-3</v>
      </c>
    </row>
    <row r="74" spans="1:7" x14ac:dyDescent="0.25">
      <c r="A74" s="1">
        <v>45763</v>
      </c>
      <c r="B74">
        <v>197.68299999999999</v>
      </c>
      <c r="C74">
        <v>200.01599999999999</v>
      </c>
      <c r="D74">
        <v>191.714</v>
      </c>
      <c r="E74" s="2">
        <v>193.608</v>
      </c>
      <c r="F74">
        <v>59936679</v>
      </c>
      <c r="G74" s="3">
        <f t="shared" si="1"/>
        <v>-3.893254439044725E-2</v>
      </c>
    </row>
    <row r="75" spans="1:7" x14ac:dyDescent="0.25">
      <c r="A75" s="1">
        <v>45764</v>
      </c>
      <c r="B75">
        <v>196.52799999999999</v>
      </c>
      <c r="C75">
        <v>198.15600000000001</v>
      </c>
      <c r="D75">
        <v>193.75700000000001</v>
      </c>
      <c r="E75" s="2">
        <v>196.309</v>
      </c>
      <c r="F75">
        <v>52343053</v>
      </c>
      <c r="G75" s="3">
        <f t="shared" si="1"/>
        <v>1.3950869798768611E-2</v>
      </c>
    </row>
    <row r="76" spans="1:7" x14ac:dyDescent="0.25">
      <c r="A76" s="1">
        <v>45768</v>
      </c>
      <c r="B76">
        <v>192.60599999999999</v>
      </c>
      <c r="C76">
        <v>193.14</v>
      </c>
      <c r="D76">
        <v>189.16499999999999</v>
      </c>
      <c r="E76" s="2">
        <v>192.501</v>
      </c>
      <c r="F76">
        <v>46902373</v>
      </c>
      <c r="G76" s="3">
        <f t="shared" si="1"/>
        <v>-1.9397989903672235E-2</v>
      </c>
    </row>
    <row r="77" spans="1:7" x14ac:dyDescent="0.25">
      <c r="A77" s="1">
        <v>45769</v>
      </c>
      <c r="B77">
        <v>195.452</v>
      </c>
      <c r="C77">
        <v>200.90299999999999</v>
      </c>
      <c r="D77">
        <v>195.30199999999999</v>
      </c>
      <c r="E77" s="2">
        <v>199.059</v>
      </c>
      <c r="F77">
        <v>53157524</v>
      </c>
      <c r="G77" s="3">
        <f t="shared" si="1"/>
        <v>3.4067355494257136E-2</v>
      </c>
    </row>
    <row r="78" spans="1:7" x14ac:dyDescent="0.25">
      <c r="A78" s="1">
        <v>45770</v>
      </c>
      <c r="B78">
        <v>205.298</v>
      </c>
      <c r="C78">
        <v>207.292</v>
      </c>
      <c r="D78">
        <v>202.107</v>
      </c>
      <c r="E78" s="2">
        <v>203.90199999999999</v>
      </c>
      <c r="F78">
        <v>53110157</v>
      </c>
      <c r="G78" s="3">
        <f t="shared" si="1"/>
        <v>2.4329470157089052E-2</v>
      </c>
    </row>
    <row r="79" spans="1:7" x14ac:dyDescent="0.25">
      <c r="A79" s="1">
        <v>45771</v>
      </c>
      <c r="B79">
        <v>204.19200000000001</v>
      </c>
      <c r="C79">
        <v>208.11799999999999</v>
      </c>
      <c r="D79">
        <v>202.24799999999999</v>
      </c>
      <c r="E79" s="2">
        <v>207.66</v>
      </c>
      <c r="F79">
        <v>47472769</v>
      </c>
      <c r="G79" s="3">
        <f t="shared" si="1"/>
        <v>1.8430422457847446E-2</v>
      </c>
    </row>
    <row r="80" spans="1:7" x14ac:dyDescent="0.25">
      <c r="A80" s="1">
        <v>45772</v>
      </c>
      <c r="B80">
        <v>205.66200000000001</v>
      </c>
      <c r="C80">
        <v>209.035</v>
      </c>
      <c r="D80">
        <v>205.49799999999999</v>
      </c>
      <c r="E80" s="2">
        <v>208.56700000000001</v>
      </c>
      <c r="F80">
        <v>38352959</v>
      </c>
      <c r="G80" s="3">
        <f t="shared" si="1"/>
        <v>4.3677164595974701E-3</v>
      </c>
    </row>
    <row r="81" spans="1:7" x14ac:dyDescent="0.25">
      <c r="A81" s="1">
        <v>45775</v>
      </c>
      <c r="B81">
        <v>209.28399999999999</v>
      </c>
      <c r="C81">
        <v>210.78</v>
      </c>
      <c r="D81">
        <v>206.75299999999999</v>
      </c>
      <c r="E81" s="2">
        <v>209.42400000000001</v>
      </c>
      <c r="F81">
        <v>38875556</v>
      </c>
      <c r="G81" s="3">
        <f t="shared" si="1"/>
        <v>4.1089913552958971E-3</v>
      </c>
    </row>
    <row r="82" spans="1:7" x14ac:dyDescent="0.25">
      <c r="A82" s="1">
        <v>45776</v>
      </c>
      <c r="B82">
        <v>207.982</v>
      </c>
      <c r="C82">
        <v>211.517</v>
      </c>
      <c r="D82">
        <v>207.66</v>
      </c>
      <c r="E82" s="2">
        <v>210.49</v>
      </c>
      <c r="F82">
        <v>36953565</v>
      </c>
      <c r="G82" s="3">
        <f t="shared" si="1"/>
        <v>5.0901520360608259E-3</v>
      </c>
    </row>
    <row r="83" spans="1:7" x14ac:dyDescent="0.25">
      <c r="A83" s="1">
        <v>45777</v>
      </c>
      <c r="B83">
        <v>208.58699999999999</v>
      </c>
      <c r="C83">
        <v>212.852</v>
      </c>
      <c r="D83">
        <v>205.96600000000001</v>
      </c>
      <c r="E83" s="2">
        <v>211.77600000000001</v>
      </c>
      <c r="F83">
        <v>52465248</v>
      </c>
      <c r="G83" s="3">
        <f t="shared" si="1"/>
        <v>6.1095538980474196E-3</v>
      </c>
    </row>
    <row r="84" spans="1:7" x14ac:dyDescent="0.25">
      <c r="A84" s="1">
        <v>45778</v>
      </c>
      <c r="B84">
        <v>208.36699999999999</v>
      </c>
      <c r="C84">
        <v>213.82900000000001</v>
      </c>
      <c r="D84">
        <v>208.18700000000001</v>
      </c>
      <c r="E84" s="2">
        <v>212.59299999999999</v>
      </c>
      <c r="F84">
        <v>57561838</v>
      </c>
      <c r="G84" s="3">
        <f t="shared" si="1"/>
        <v>3.8578498035659321E-3</v>
      </c>
    </row>
    <row r="85" spans="1:7" x14ac:dyDescent="0.25">
      <c r="A85" s="1">
        <v>45779</v>
      </c>
      <c r="B85">
        <v>205.38800000000001</v>
      </c>
      <c r="C85">
        <v>206.285</v>
      </c>
      <c r="D85">
        <v>201.471</v>
      </c>
      <c r="E85" s="2">
        <v>204.65100000000001</v>
      </c>
      <c r="F85">
        <v>101356028</v>
      </c>
      <c r="G85" s="3">
        <f t="shared" si="1"/>
        <v>-3.7357768129712546E-2</v>
      </c>
    </row>
    <row r="86" spans="1:7" x14ac:dyDescent="0.25">
      <c r="A86" s="1">
        <v>45782</v>
      </c>
      <c r="B86">
        <v>202.40799999999999</v>
      </c>
      <c r="C86">
        <v>203.405</v>
      </c>
      <c r="D86">
        <v>197.535</v>
      </c>
      <c r="E86" s="2">
        <v>198.21299999999999</v>
      </c>
      <c r="F86">
        <v>69254461</v>
      </c>
      <c r="G86" s="3">
        <f t="shared" si="1"/>
        <v>-3.1458434114663578E-2</v>
      </c>
    </row>
    <row r="87" spans="1:7" x14ac:dyDescent="0.25">
      <c r="A87" s="1">
        <v>45783</v>
      </c>
      <c r="B87">
        <v>197.535</v>
      </c>
      <c r="C87">
        <v>199.96600000000001</v>
      </c>
      <c r="D87">
        <v>196.34899999999999</v>
      </c>
      <c r="E87" s="2">
        <v>197.833</v>
      </c>
      <c r="F87">
        <v>51391617</v>
      </c>
      <c r="G87" s="3">
        <f t="shared" si="1"/>
        <v>-1.9171295525520298E-3</v>
      </c>
    </row>
    <row r="88" spans="1:7" x14ac:dyDescent="0.25">
      <c r="A88" s="1">
        <v>45784</v>
      </c>
      <c r="B88">
        <v>198.49199999999999</v>
      </c>
      <c r="C88">
        <v>198.76</v>
      </c>
      <c r="D88">
        <v>192.59100000000001</v>
      </c>
      <c r="E88" s="2">
        <v>195.58099999999999</v>
      </c>
      <c r="F88">
        <v>68851579</v>
      </c>
      <c r="G88" s="3">
        <f t="shared" si="1"/>
        <v>-1.1383338472347938E-2</v>
      </c>
    </row>
    <row r="89" spans="1:7" x14ac:dyDescent="0.25">
      <c r="A89" s="1">
        <v>45785</v>
      </c>
      <c r="B89">
        <v>197.04599999999999</v>
      </c>
      <c r="C89">
        <v>199.369</v>
      </c>
      <c r="D89">
        <v>194.017</v>
      </c>
      <c r="E89" s="2">
        <v>196.816</v>
      </c>
      <c r="F89">
        <v>50651485</v>
      </c>
      <c r="G89" s="3">
        <f t="shared" si="1"/>
        <v>6.3145193040224446E-3</v>
      </c>
    </row>
    <row r="90" spans="1:7" x14ac:dyDescent="0.25">
      <c r="A90" s="1">
        <v>45786</v>
      </c>
      <c r="B90">
        <v>198.322</v>
      </c>
      <c r="C90">
        <v>199.85599999999999</v>
      </c>
      <c r="D90">
        <v>196.86099999999999</v>
      </c>
      <c r="E90" s="2">
        <v>197.85300000000001</v>
      </c>
      <c r="F90">
        <v>36578577</v>
      </c>
      <c r="G90" s="3">
        <f t="shared" si="1"/>
        <v>5.2688805788147618E-3</v>
      </c>
    </row>
    <row r="91" spans="1:7" x14ac:dyDescent="0.25">
      <c r="A91" s="1">
        <v>45789</v>
      </c>
      <c r="B91">
        <v>210.52699999999999</v>
      </c>
      <c r="C91">
        <v>210.82400000000001</v>
      </c>
      <c r="D91">
        <v>206.316</v>
      </c>
      <c r="E91" s="2">
        <v>210.34700000000001</v>
      </c>
      <c r="F91">
        <v>63910088</v>
      </c>
      <c r="G91" s="3">
        <f t="shared" si="1"/>
        <v>6.3147892627354651E-2</v>
      </c>
    </row>
    <row r="92" spans="1:7" x14ac:dyDescent="0.25">
      <c r="A92" s="1">
        <v>45790</v>
      </c>
      <c r="B92">
        <v>209.98699999999999</v>
      </c>
      <c r="C92">
        <v>212.952</v>
      </c>
      <c r="D92">
        <v>208.56100000000001</v>
      </c>
      <c r="E92" s="2">
        <v>212.483</v>
      </c>
      <c r="F92">
        <v>52018622</v>
      </c>
      <c r="G92" s="3">
        <f t="shared" si="1"/>
        <v>1.0154649222475222E-2</v>
      </c>
    </row>
    <row r="93" spans="1:7" x14ac:dyDescent="0.25">
      <c r="A93" s="1">
        <v>45791</v>
      </c>
      <c r="B93">
        <v>211.98400000000001</v>
      </c>
      <c r="C93">
        <v>213.49</v>
      </c>
      <c r="D93">
        <v>210.137</v>
      </c>
      <c r="E93" s="2">
        <v>211.88399999999999</v>
      </c>
      <c r="F93">
        <v>49429676</v>
      </c>
      <c r="G93" s="3">
        <f t="shared" si="1"/>
        <v>-2.819049053336116E-3</v>
      </c>
    </row>
    <row r="94" spans="1:7" x14ac:dyDescent="0.25">
      <c r="A94" s="1">
        <v>45792</v>
      </c>
      <c r="B94">
        <v>210.50700000000001</v>
      </c>
      <c r="C94">
        <v>212.51300000000001</v>
      </c>
      <c r="D94">
        <v>209.09899999999999</v>
      </c>
      <c r="E94" s="2">
        <v>211.005</v>
      </c>
      <c r="F94">
        <v>45124278</v>
      </c>
      <c r="G94" s="3">
        <f t="shared" si="1"/>
        <v>-4.1484963470577807E-3</v>
      </c>
    </row>
    <row r="95" spans="1:7" x14ac:dyDescent="0.25">
      <c r="A95" s="1">
        <v>45793</v>
      </c>
      <c r="B95">
        <v>211.91399999999999</v>
      </c>
      <c r="C95">
        <v>212.12299999999999</v>
      </c>
      <c r="D95">
        <v>209.32900000000001</v>
      </c>
      <c r="E95" s="2">
        <v>210.81700000000001</v>
      </c>
      <c r="F95">
        <v>54853095</v>
      </c>
      <c r="G95" s="3">
        <f t="shared" si="1"/>
        <v>-8.9097414753199302E-4</v>
      </c>
    </row>
    <row r="96" spans="1:7" x14ac:dyDescent="0.25">
      <c r="A96" s="1">
        <v>45796</v>
      </c>
      <c r="B96">
        <v>207.47300000000001</v>
      </c>
      <c r="C96">
        <v>209.04</v>
      </c>
      <c r="D96">
        <v>203.83</v>
      </c>
      <c r="E96" s="2">
        <v>208.34100000000001</v>
      </c>
      <c r="F96">
        <v>46237671</v>
      </c>
      <c r="G96" s="3">
        <f t="shared" si="1"/>
        <v>-1.1744783390333791E-2</v>
      </c>
    </row>
    <row r="97" spans="1:7" x14ac:dyDescent="0.25">
      <c r="A97" s="1">
        <v>45797</v>
      </c>
      <c r="B97">
        <v>207.23400000000001</v>
      </c>
      <c r="C97">
        <v>208.03200000000001</v>
      </c>
      <c r="D97">
        <v>204.6</v>
      </c>
      <c r="E97" s="2">
        <v>206.42500000000001</v>
      </c>
      <c r="F97">
        <v>42586108</v>
      </c>
      <c r="G97" s="3">
        <f t="shared" si="1"/>
        <v>-9.1964615702142E-3</v>
      </c>
    </row>
    <row r="98" spans="1:7" x14ac:dyDescent="0.25">
      <c r="A98" s="1">
        <v>45798</v>
      </c>
      <c r="B98">
        <v>204.739</v>
      </c>
      <c r="C98">
        <v>206.60499999999999</v>
      </c>
      <c r="D98">
        <v>200.28800000000001</v>
      </c>
      <c r="E98" s="2">
        <v>201.666</v>
      </c>
      <c r="F98">
        <v>59336439</v>
      </c>
      <c r="G98" s="3">
        <f t="shared" si="1"/>
        <v>-2.3054378103427465E-2</v>
      </c>
    </row>
    <row r="99" spans="1:7" x14ac:dyDescent="0.25">
      <c r="A99" s="1">
        <v>45799</v>
      </c>
      <c r="B99">
        <v>200.28800000000001</v>
      </c>
      <c r="C99">
        <v>202.32400000000001</v>
      </c>
      <c r="D99">
        <v>199.28100000000001</v>
      </c>
      <c r="E99" s="2">
        <v>200.93700000000001</v>
      </c>
      <c r="F99">
        <v>46840819</v>
      </c>
      <c r="G99" s="3">
        <f t="shared" si="1"/>
        <v>-3.6148879831006961E-3</v>
      </c>
    </row>
    <row r="100" spans="1:7" x14ac:dyDescent="0.25">
      <c r="A100" s="1">
        <v>45800</v>
      </c>
      <c r="B100">
        <v>193.25800000000001</v>
      </c>
      <c r="C100">
        <v>197.285</v>
      </c>
      <c r="D100">
        <v>193.054</v>
      </c>
      <c r="E100" s="2">
        <v>194.86</v>
      </c>
      <c r="F100">
        <v>78598051</v>
      </c>
      <c r="G100" s="3">
        <f t="shared" si="1"/>
        <v>-3.0243310092217947E-2</v>
      </c>
    </row>
    <row r="101" spans="1:7" x14ac:dyDescent="0.25">
      <c r="A101" s="1">
        <v>45804</v>
      </c>
      <c r="B101">
        <v>197.88300000000001</v>
      </c>
      <c r="C101">
        <v>200.31800000000001</v>
      </c>
      <c r="D101">
        <v>197.01499999999999</v>
      </c>
      <c r="E101" s="2">
        <v>199.78899999999999</v>
      </c>
      <c r="F101">
        <v>56406985</v>
      </c>
      <c r="G101" s="3">
        <f t="shared" si="1"/>
        <v>2.529508364979972E-2</v>
      </c>
    </row>
    <row r="102" spans="1:7" x14ac:dyDescent="0.25">
      <c r="A102" s="1">
        <v>45805</v>
      </c>
      <c r="B102">
        <v>200.16900000000001</v>
      </c>
      <c r="C102">
        <v>202.304</v>
      </c>
      <c r="D102">
        <v>199.48</v>
      </c>
      <c r="E102" s="2">
        <v>199.999</v>
      </c>
      <c r="F102">
        <v>45435136</v>
      </c>
      <c r="G102" s="3">
        <f t="shared" si="1"/>
        <v>1.0511089199105456E-3</v>
      </c>
    </row>
    <row r="103" spans="1:7" x14ac:dyDescent="0.25">
      <c r="A103" s="1">
        <v>45806</v>
      </c>
      <c r="B103">
        <v>203.14699999999999</v>
      </c>
      <c r="C103">
        <v>203.38200000000001</v>
      </c>
      <c r="D103">
        <v>198.09299999999999</v>
      </c>
      <c r="E103" s="2">
        <v>199.53</v>
      </c>
      <c r="F103">
        <v>51586320</v>
      </c>
      <c r="G103" s="3">
        <f t="shared" si="1"/>
        <v>-2.3450117250585958E-3</v>
      </c>
    </row>
    <row r="104" spans="1:7" x14ac:dyDescent="0.25">
      <c r="A104" s="1">
        <v>45807</v>
      </c>
      <c r="B104">
        <v>198.95099999999999</v>
      </c>
      <c r="C104">
        <v>201.536</v>
      </c>
      <c r="D104">
        <v>196.36699999999999</v>
      </c>
      <c r="E104" s="2">
        <v>200.428</v>
      </c>
      <c r="F104">
        <v>70969047</v>
      </c>
      <c r="G104" s="3">
        <f t="shared" si="1"/>
        <v>4.500576354432898E-3</v>
      </c>
    </row>
    <row r="105" spans="1:7" x14ac:dyDescent="0.25">
      <c r="A105" s="1">
        <v>45810</v>
      </c>
      <c r="B105">
        <v>199.85900000000001</v>
      </c>
      <c r="C105">
        <v>201.70500000000001</v>
      </c>
      <c r="D105">
        <v>199.69900000000001</v>
      </c>
      <c r="E105" s="2">
        <v>201.27600000000001</v>
      </c>
      <c r="F105">
        <v>35497874</v>
      </c>
      <c r="G105" s="3">
        <f t="shared" si="1"/>
        <v>4.230945776039342E-3</v>
      </c>
    </row>
    <row r="106" spans="1:7" x14ac:dyDescent="0.25">
      <c r="A106" s="1">
        <v>45811</v>
      </c>
      <c r="B106">
        <v>200.92699999999999</v>
      </c>
      <c r="C106">
        <v>203.34200000000001</v>
      </c>
      <c r="D106">
        <v>200.53299999999999</v>
      </c>
      <c r="E106" s="2">
        <v>202.84299999999999</v>
      </c>
      <c r="F106">
        <v>46479219</v>
      </c>
      <c r="G106" s="3">
        <f t="shared" si="1"/>
        <v>7.7853295971699495E-3</v>
      </c>
    </row>
    <row r="107" spans="1:7" x14ac:dyDescent="0.25">
      <c r="A107" s="1">
        <v>45812</v>
      </c>
      <c r="B107">
        <v>202.48400000000001</v>
      </c>
      <c r="C107">
        <v>205.80600000000001</v>
      </c>
      <c r="D107">
        <v>201.67500000000001</v>
      </c>
      <c r="E107" s="2">
        <v>202.39400000000001</v>
      </c>
      <c r="F107">
        <v>43695789</v>
      </c>
      <c r="G107" s="3">
        <f t="shared" si="1"/>
        <v>-2.2135346055815771E-3</v>
      </c>
    </row>
    <row r="108" spans="1:7" x14ac:dyDescent="0.25">
      <c r="A108" s="1">
        <v>45813</v>
      </c>
      <c r="B108">
        <v>203.072</v>
      </c>
      <c r="C108">
        <v>204.32</v>
      </c>
      <c r="D108">
        <v>199.72900000000001</v>
      </c>
      <c r="E108" s="2">
        <v>200.209</v>
      </c>
      <c r="F108">
        <v>55337498</v>
      </c>
      <c r="G108" s="3">
        <f t="shared" si="1"/>
        <v>-1.0795774578297787E-2</v>
      </c>
    </row>
    <row r="109" spans="1:7" x14ac:dyDescent="0.25">
      <c r="A109" s="1">
        <v>45814</v>
      </c>
      <c r="B109">
        <v>202.57400000000001</v>
      </c>
      <c r="C109">
        <v>205.268</v>
      </c>
      <c r="D109">
        <v>201.626</v>
      </c>
      <c r="E109" s="2">
        <v>203.49199999999999</v>
      </c>
      <c r="F109">
        <v>46705821</v>
      </c>
      <c r="G109" s="3">
        <f t="shared" si="1"/>
        <v>1.6397864231877623E-2</v>
      </c>
    </row>
    <row r="110" spans="1:7" x14ac:dyDescent="0.25">
      <c r="A110" s="1">
        <v>45817</v>
      </c>
      <c r="B110">
        <v>203.96</v>
      </c>
      <c r="C110">
        <v>205.56700000000001</v>
      </c>
      <c r="D110">
        <v>199.6</v>
      </c>
      <c r="E110" s="2">
        <v>201.02699999999999</v>
      </c>
      <c r="F110">
        <v>73015962</v>
      </c>
      <c r="G110" s="3">
        <f t="shared" si="1"/>
        <v>-1.2113498319344267E-2</v>
      </c>
    </row>
    <row r="111" spans="1:7" x14ac:dyDescent="0.25">
      <c r="A111" s="1">
        <v>45818</v>
      </c>
      <c r="B111">
        <v>200.179</v>
      </c>
      <c r="C111">
        <v>203.92</v>
      </c>
      <c r="D111">
        <v>200.149</v>
      </c>
      <c r="E111" s="2">
        <v>202.244</v>
      </c>
      <c r="F111">
        <v>54787716</v>
      </c>
      <c r="G111" s="3">
        <f t="shared" si="1"/>
        <v>6.0539131559442915E-3</v>
      </c>
    </row>
    <row r="112" spans="1:7" x14ac:dyDescent="0.25">
      <c r="A112" s="1">
        <v>45819</v>
      </c>
      <c r="B112">
        <v>203.072</v>
      </c>
      <c r="C112">
        <v>204.07</v>
      </c>
      <c r="D112">
        <v>197.99299999999999</v>
      </c>
      <c r="E112" s="2">
        <v>198.363</v>
      </c>
      <c r="F112">
        <v>61118265</v>
      </c>
      <c r="G112" s="3">
        <f t="shared" si="1"/>
        <v>-1.9189691659579518E-2</v>
      </c>
    </row>
    <row r="113" spans="1:7" x14ac:dyDescent="0.25">
      <c r="A113" s="1">
        <v>45820</v>
      </c>
      <c r="B113">
        <v>198.661</v>
      </c>
      <c r="C113">
        <v>199.261</v>
      </c>
      <c r="D113">
        <v>196.94499999999999</v>
      </c>
      <c r="E113" s="2">
        <v>198.78100000000001</v>
      </c>
      <c r="F113">
        <v>43997072</v>
      </c>
      <c r="G113" s="3">
        <f t="shared" si="1"/>
        <v>2.1072478234348459E-3</v>
      </c>
    </row>
    <row r="114" spans="1:7" x14ac:dyDescent="0.25">
      <c r="A114" s="1">
        <v>45821</v>
      </c>
      <c r="B114">
        <v>199.31100000000001</v>
      </c>
      <c r="C114">
        <v>199.94900000000001</v>
      </c>
      <c r="D114">
        <v>195.28899999999999</v>
      </c>
      <c r="E114" s="2">
        <v>196.03700000000001</v>
      </c>
      <c r="F114">
        <v>51555667</v>
      </c>
      <c r="G114" s="3">
        <f t="shared" si="1"/>
        <v>-1.3804136210201174E-2</v>
      </c>
    </row>
    <row r="115" spans="1:7" x14ac:dyDescent="0.25">
      <c r="A115" s="1">
        <v>45824</v>
      </c>
      <c r="B115">
        <v>196.88499999999999</v>
      </c>
      <c r="C115">
        <v>198.268</v>
      </c>
      <c r="D115">
        <v>196.15100000000001</v>
      </c>
      <c r="E115" s="2">
        <v>198.00299999999999</v>
      </c>
      <c r="F115">
        <v>43111267</v>
      </c>
      <c r="G115" s="3">
        <f t="shared" si="1"/>
        <v>1.0028719068339036E-2</v>
      </c>
    </row>
    <row r="116" spans="1:7" x14ac:dyDescent="0.25">
      <c r="A116" s="1">
        <v>45825</v>
      </c>
      <c r="B116">
        <v>196.785</v>
      </c>
      <c r="C116">
        <v>197.97300000000001</v>
      </c>
      <c r="D116">
        <v>194.8</v>
      </c>
      <c r="E116" s="2">
        <v>195.22900000000001</v>
      </c>
      <c r="F116">
        <v>38937960</v>
      </c>
      <c r="G116" s="3">
        <f t="shared" si="1"/>
        <v>-1.4009888739059371E-2</v>
      </c>
    </row>
    <row r="117" spans="1:7" x14ac:dyDescent="0.25">
      <c r="A117" s="1">
        <v>45826</v>
      </c>
      <c r="B117">
        <v>195.52799999999999</v>
      </c>
      <c r="C117">
        <v>197.155</v>
      </c>
      <c r="D117">
        <v>194.66</v>
      </c>
      <c r="E117" s="2">
        <v>196.167</v>
      </c>
      <c r="F117">
        <v>45490263</v>
      </c>
      <c r="G117" s="3">
        <f t="shared" si="1"/>
        <v>4.8046140686065497E-3</v>
      </c>
    </row>
    <row r="118" spans="1:7" x14ac:dyDescent="0.25">
      <c r="A118" s="1">
        <v>45828</v>
      </c>
      <c r="B118">
        <v>197.81800000000001</v>
      </c>
      <c r="C118">
        <v>201.27600000000001</v>
      </c>
      <c r="D118">
        <v>196.44200000000001</v>
      </c>
      <c r="E118" s="2">
        <v>200.578</v>
      </c>
      <c r="F118">
        <v>97017374</v>
      </c>
      <c r="G118" s="3">
        <f t="shared" si="1"/>
        <v>2.248594309950196E-2</v>
      </c>
    </row>
    <row r="119" spans="1:7" x14ac:dyDescent="0.25">
      <c r="A119" s="1">
        <v>45831</v>
      </c>
      <c r="B119">
        <v>201.20099999999999</v>
      </c>
      <c r="C119">
        <v>201.875</v>
      </c>
      <c r="D119">
        <v>198.542</v>
      </c>
      <c r="E119" s="2">
        <v>201.077</v>
      </c>
      <c r="F119">
        <v>55931784</v>
      </c>
      <c r="G119" s="3">
        <f t="shared" si="1"/>
        <v>2.4878102284397849E-3</v>
      </c>
    </row>
    <row r="120" spans="1:7" x14ac:dyDescent="0.25">
      <c r="A120" s="1">
        <v>45832</v>
      </c>
      <c r="B120">
        <v>202.16399999999999</v>
      </c>
      <c r="C120">
        <v>203.012</v>
      </c>
      <c r="D120">
        <v>199.779</v>
      </c>
      <c r="E120" s="2">
        <v>199.87899999999999</v>
      </c>
      <c r="F120">
        <v>54177860</v>
      </c>
      <c r="G120" s="3">
        <f t="shared" si="1"/>
        <v>-5.9579166190066868E-3</v>
      </c>
    </row>
    <row r="121" spans="1:7" x14ac:dyDescent="0.25">
      <c r="A121" s="1">
        <v>45833</v>
      </c>
      <c r="B121">
        <v>201.02699999999999</v>
      </c>
      <c r="C121">
        <v>203.24199999999999</v>
      </c>
      <c r="D121">
        <v>200.19900000000001</v>
      </c>
      <c r="E121" s="2">
        <v>201.137</v>
      </c>
      <c r="F121">
        <v>39608948</v>
      </c>
      <c r="G121" s="3">
        <f t="shared" si="1"/>
        <v>6.2938077536910325E-3</v>
      </c>
    </row>
    <row r="122" spans="1:7" x14ac:dyDescent="0.25">
      <c r="A122" s="1">
        <v>45834</v>
      </c>
      <c r="B122">
        <v>201.00700000000001</v>
      </c>
      <c r="C122">
        <v>202.214</v>
      </c>
      <c r="D122">
        <v>199.041</v>
      </c>
      <c r="E122" s="2">
        <v>200.578</v>
      </c>
      <c r="F122">
        <v>50906074</v>
      </c>
      <c r="G122" s="3">
        <f t="shared" si="1"/>
        <v>-2.7792002465980774E-3</v>
      </c>
    </row>
    <row r="123" spans="1:7" x14ac:dyDescent="0.25">
      <c r="A123" s="1">
        <v>45835</v>
      </c>
      <c r="B123">
        <v>201.46600000000001</v>
      </c>
      <c r="C123">
        <v>202.79300000000001</v>
      </c>
      <c r="D123">
        <v>199.58</v>
      </c>
      <c r="E123" s="2">
        <v>200.65700000000001</v>
      </c>
      <c r="F123">
        <v>73342663</v>
      </c>
      <c r="G123" s="3">
        <f t="shared" si="1"/>
        <v>3.9386173957267363E-4</v>
      </c>
    </row>
    <row r="124" spans="1:7" x14ac:dyDescent="0.25">
      <c r="A124" s="1">
        <v>45838</v>
      </c>
      <c r="B124">
        <v>201.58600000000001</v>
      </c>
      <c r="C124">
        <v>206.95400000000001</v>
      </c>
      <c r="D124">
        <v>198.84200000000001</v>
      </c>
      <c r="E124" s="2">
        <v>204.739</v>
      </c>
      <c r="F124">
        <v>92106330</v>
      </c>
      <c r="G124" s="3">
        <f t="shared" si="1"/>
        <v>2.0343172677753547E-2</v>
      </c>
    </row>
    <row r="125" spans="1:7" x14ac:dyDescent="0.25">
      <c r="A125" s="1">
        <v>45839</v>
      </c>
      <c r="B125">
        <v>206.23099999999999</v>
      </c>
      <c r="C125">
        <v>209.745</v>
      </c>
      <c r="D125">
        <v>205.70699999999999</v>
      </c>
      <c r="E125" s="2">
        <v>207.38300000000001</v>
      </c>
      <c r="F125">
        <v>78954750</v>
      </c>
      <c r="G125" s="3">
        <f t="shared" si="1"/>
        <v>1.2914002705884104E-2</v>
      </c>
    </row>
    <row r="126" spans="1:7" x14ac:dyDescent="0.25">
      <c r="A126" s="1">
        <v>45840</v>
      </c>
      <c r="B126">
        <v>208.471</v>
      </c>
      <c r="C126">
        <v>212.892</v>
      </c>
      <c r="D126">
        <v>207.703</v>
      </c>
      <c r="E126" s="2">
        <v>211.99299999999999</v>
      </c>
      <c r="F126">
        <v>68084856</v>
      </c>
      <c r="G126" s="3">
        <f t="shared" si="1"/>
        <v>2.2229401638514175E-2</v>
      </c>
    </row>
    <row r="127" spans="1:7" x14ac:dyDescent="0.25">
      <c r="A127" s="1">
        <v>45841</v>
      </c>
      <c r="B127">
        <v>211.7</v>
      </c>
      <c r="C127">
        <v>214.19900000000001</v>
      </c>
      <c r="D127">
        <v>211.36500000000001</v>
      </c>
      <c r="E127" s="2">
        <v>213.101</v>
      </c>
      <c r="F127">
        <v>35029432</v>
      </c>
      <c r="G127" s="3">
        <f t="shared" si="1"/>
        <v>5.2265876703476251E-3</v>
      </c>
    </row>
    <row r="128" spans="1:7" x14ac:dyDescent="0.25">
      <c r="A128" s="1">
        <v>45845</v>
      </c>
      <c r="B128">
        <v>212.233</v>
      </c>
      <c r="C128">
        <v>215.77600000000001</v>
      </c>
      <c r="D128">
        <v>208.36099999999999</v>
      </c>
      <c r="E128" s="2">
        <v>209.50899999999999</v>
      </c>
      <c r="F128">
        <v>50334736</v>
      </c>
      <c r="G128" s="3">
        <f t="shared" si="1"/>
        <v>-1.6855857081853266E-2</v>
      </c>
    </row>
    <row r="129" spans="1:7" x14ac:dyDescent="0.25">
      <c r="A129" s="1">
        <v>45846</v>
      </c>
      <c r="B129">
        <v>209.65899999999999</v>
      </c>
      <c r="C129">
        <v>210.98500000000001</v>
      </c>
      <c r="D129">
        <v>208.012</v>
      </c>
      <c r="E129" s="2">
        <v>209.56899999999999</v>
      </c>
      <c r="F129">
        <v>42939142</v>
      </c>
      <c r="G129" s="3">
        <f t="shared" si="1"/>
        <v>2.8638387849687737E-4</v>
      </c>
    </row>
    <row r="130" spans="1:7" x14ac:dyDescent="0.25">
      <c r="A130" s="1">
        <v>45847</v>
      </c>
      <c r="B130">
        <v>209.089</v>
      </c>
      <c r="C130">
        <v>210.886</v>
      </c>
      <c r="D130">
        <v>206.785</v>
      </c>
      <c r="E130" s="2">
        <v>210.697</v>
      </c>
      <c r="F130">
        <v>48852004</v>
      </c>
      <c r="G130" s="3">
        <f t="shared" si="1"/>
        <v>5.3824754615425675E-3</v>
      </c>
    </row>
    <row r="131" spans="1:7" x14ac:dyDescent="0.25">
      <c r="A131" s="1">
        <v>45848</v>
      </c>
      <c r="B131">
        <v>210.06200000000001</v>
      </c>
      <c r="C131">
        <v>213.03100000000001</v>
      </c>
      <c r="D131">
        <v>209.589</v>
      </c>
      <c r="E131" s="2">
        <v>211.964</v>
      </c>
      <c r="F131">
        <v>44537207</v>
      </c>
      <c r="G131" s="3">
        <f t="shared" si="1"/>
        <v>6.0133746564972257E-3</v>
      </c>
    </row>
    <row r="132" spans="1:7" x14ac:dyDescent="0.25">
      <c r="A132" s="1">
        <v>45849</v>
      </c>
      <c r="B132">
        <v>210.12200000000001</v>
      </c>
      <c r="C132">
        <v>211.685</v>
      </c>
      <c r="D132">
        <v>209.41900000000001</v>
      </c>
      <c r="E132" s="2">
        <v>210.71700000000001</v>
      </c>
      <c r="F132">
        <v>39849535</v>
      </c>
      <c r="G132" s="3">
        <f t="shared" si="1"/>
        <v>-5.8830744843463307E-3</v>
      </c>
    </row>
    <row r="133" spans="1:7" x14ac:dyDescent="0.25">
      <c r="A133" s="1">
        <v>45852</v>
      </c>
      <c r="B133">
        <v>209.48400000000001</v>
      </c>
      <c r="C133">
        <v>210.46700000000001</v>
      </c>
      <c r="D133">
        <v>207.10400000000001</v>
      </c>
      <c r="E133" s="2">
        <v>208.18199999999999</v>
      </c>
      <c r="F133">
        <v>38921885</v>
      </c>
      <c r="G133" s="3">
        <f t="shared" ref="G133:G196" si="2">((E133-E132)/E132)*100%</f>
        <v>-1.2030353507310871E-2</v>
      </c>
    </row>
    <row r="134" spans="1:7" x14ac:dyDescent="0.25">
      <c r="A134" s="1">
        <v>45853</v>
      </c>
      <c r="B134">
        <v>208.78100000000001</v>
      </c>
      <c r="C134">
        <v>211.44499999999999</v>
      </c>
      <c r="D134">
        <v>208.48099999999999</v>
      </c>
      <c r="E134" s="2">
        <v>208.67099999999999</v>
      </c>
      <c r="F134">
        <v>42385390</v>
      </c>
      <c r="G134" s="3">
        <f t="shared" si="2"/>
        <v>2.3489062454967497E-3</v>
      </c>
    </row>
    <row r="135" spans="1:7" x14ac:dyDescent="0.25">
      <c r="A135" s="1">
        <v>45854</v>
      </c>
      <c r="B135">
        <v>209.85400000000001</v>
      </c>
      <c r="C135">
        <v>211.95400000000001</v>
      </c>
      <c r="D135">
        <v>208.20099999999999</v>
      </c>
      <c r="E135" s="2">
        <v>209.71899999999999</v>
      </c>
      <c r="F135">
        <v>47590519</v>
      </c>
      <c r="G135" s="3">
        <f t="shared" si="2"/>
        <v>5.0222599211198577E-3</v>
      </c>
    </row>
    <row r="136" spans="1:7" x14ac:dyDescent="0.25">
      <c r="A136" s="1">
        <v>45855</v>
      </c>
      <c r="B136">
        <v>210.12700000000001</v>
      </c>
      <c r="C136">
        <v>211.35499999999999</v>
      </c>
      <c r="D136">
        <v>209.149</v>
      </c>
      <c r="E136" s="2">
        <v>209.57900000000001</v>
      </c>
      <c r="F136">
        <v>48169344</v>
      </c>
      <c r="G136" s="3">
        <f t="shared" si="2"/>
        <v>-6.6755992542395478E-4</v>
      </c>
    </row>
    <row r="137" spans="1:7" x14ac:dyDescent="0.25">
      <c r="A137" s="1">
        <v>45856</v>
      </c>
      <c r="B137">
        <v>210.42699999999999</v>
      </c>
      <c r="C137">
        <v>211.345</v>
      </c>
      <c r="D137">
        <v>209.26400000000001</v>
      </c>
      <c r="E137" s="2">
        <v>210.73699999999999</v>
      </c>
      <c r="F137">
        <v>49077702</v>
      </c>
      <c r="G137" s="3">
        <f t="shared" si="2"/>
        <v>5.5253627510389253E-3</v>
      </c>
    </row>
    <row r="138" spans="1:7" x14ac:dyDescent="0.25">
      <c r="A138" s="1">
        <v>45859</v>
      </c>
      <c r="B138">
        <v>211.655</v>
      </c>
      <c r="C138">
        <v>215.32599999999999</v>
      </c>
      <c r="D138">
        <v>211.185</v>
      </c>
      <c r="E138" s="2">
        <v>212.03299999999999</v>
      </c>
      <c r="F138">
        <v>51485604</v>
      </c>
      <c r="G138" s="3">
        <f t="shared" si="2"/>
        <v>6.1498455420737333E-3</v>
      </c>
    </row>
    <row r="139" spans="1:7" x14ac:dyDescent="0.25">
      <c r="A139" s="1">
        <v>45860</v>
      </c>
      <c r="B139">
        <v>212.69200000000001</v>
      </c>
      <c r="C139">
        <v>214.49799999999999</v>
      </c>
      <c r="D139">
        <v>211.785</v>
      </c>
      <c r="E139" s="2">
        <v>213.95</v>
      </c>
      <c r="F139">
        <v>46501771</v>
      </c>
      <c r="G139" s="3">
        <f t="shared" si="2"/>
        <v>9.0410454976348094E-3</v>
      </c>
    </row>
    <row r="140" spans="1:7" x14ac:dyDescent="0.25">
      <c r="A140" s="1">
        <v>45861</v>
      </c>
      <c r="B140">
        <v>214.548</v>
      </c>
      <c r="C140">
        <v>214.69800000000001</v>
      </c>
      <c r="D140">
        <v>211.964</v>
      </c>
      <c r="E140" s="2">
        <v>213.7</v>
      </c>
      <c r="F140">
        <v>47088232</v>
      </c>
      <c r="G140" s="3">
        <f t="shared" si="2"/>
        <v>-1.1684973124561815E-3</v>
      </c>
    </row>
    <row r="141" spans="1:7" x14ac:dyDescent="0.25">
      <c r="A141" s="1">
        <v>45862</v>
      </c>
      <c r="B141">
        <v>213.45099999999999</v>
      </c>
      <c r="C141">
        <v>215.23599999999999</v>
      </c>
      <c r="D141">
        <v>213.08099999999999</v>
      </c>
      <c r="E141" s="2">
        <v>213.31100000000001</v>
      </c>
      <c r="F141">
        <v>46119516</v>
      </c>
      <c r="G141" s="3">
        <f t="shared" si="2"/>
        <v>-1.8203088441739897E-3</v>
      </c>
    </row>
    <row r="142" spans="1:7" x14ac:dyDescent="0.25">
      <c r="A142" s="1">
        <v>45863</v>
      </c>
      <c r="B142">
        <v>214.249</v>
      </c>
      <c r="C142">
        <v>214.78800000000001</v>
      </c>
      <c r="D142">
        <v>212.952</v>
      </c>
      <c r="E142" s="2">
        <v>213.43100000000001</v>
      </c>
      <c r="F142">
        <v>40353563</v>
      </c>
      <c r="G142" s="3">
        <f t="shared" si="2"/>
        <v>5.6255889288412005E-4</v>
      </c>
    </row>
    <row r="143" spans="1:7" x14ac:dyDescent="0.25">
      <c r="A143" s="1">
        <v>45866</v>
      </c>
      <c r="B143">
        <v>213.58</v>
      </c>
      <c r="C143">
        <v>214.393</v>
      </c>
      <c r="D143">
        <v>212.61199999999999</v>
      </c>
      <c r="E143" s="2">
        <v>213.6</v>
      </c>
      <c r="F143">
        <v>37937723</v>
      </c>
      <c r="G143" s="3">
        <f t="shared" si="2"/>
        <v>7.9182499262048494E-4</v>
      </c>
    </row>
    <row r="144" spans="1:7" x14ac:dyDescent="0.25">
      <c r="A144" s="1">
        <v>45867</v>
      </c>
      <c r="B144">
        <v>213.72499999999999</v>
      </c>
      <c r="C144">
        <v>214.358</v>
      </c>
      <c r="D144">
        <v>210.37700000000001</v>
      </c>
      <c r="E144" s="2">
        <v>210.82599999999999</v>
      </c>
      <c r="F144">
        <v>51519966</v>
      </c>
      <c r="G144" s="3">
        <f t="shared" si="2"/>
        <v>-1.2986891385767795E-2</v>
      </c>
    </row>
    <row r="145" spans="1:7" x14ac:dyDescent="0.25">
      <c r="A145" s="1">
        <v>45868</v>
      </c>
      <c r="B145">
        <v>211.45</v>
      </c>
      <c r="C145">
        <v>211.94399999999999</v>
      </c>
      <c r="D145">
        <v>207.28399999999999</v>
      </c>
      <c r="E145" s="2">
        <v>208.61099999999999</v>
      </c>
      <c r="F145">
        <v>45608336</v>
      </c>
      <c r="G145" s="3">
        <f t="shared" si="2"/>
        <v>-1.0506294290078091E-2</v>
      </c>
    </row>
    <row r="146" spans="1:7" x14ac:dyDescent="0.25">
      <c r="A146" s="1">
        <v>45869</v>
      </c>
      <c r="B146">
        <v>208.05199999999999</v>
      </c>
      <c r="C146">
        <v>209.399</v>
      </c>
      <c r="D146">
        <v>206.72499999999999</v>
      </c>
      <c r="E146" s="2">
        <v>207.13399999999999</v>
      </c>
      <c r="F146">
        <v>80868334</v>
      </c>
      <c r="G146" s="3">
        <f t="shared" si="2"/>
        <v>-7.0801635580099035E-3</v>
      </c>
    </row>
    <row r="147" spans="1:7" x14ac:dyDescent="0.25">
      <c r="A147" s="1">
        <v>45870</v>
      </c>
      <c r="B147">
        <v>210.422</v>
      </c>
      <c r="C147">
        <v>213.131</v>
      </c>
      <c r="D147">
        <v>201.077</v>
      </c>
      <c r="E147" s="2">
        <v>201.95500000000001</v>
      </c>
      <c r="F147">
        <v>104654350</v>
      </c>
      <c r="G147" s="3">
        <f t="shared" si="2"/>
        <v>-2.5003138065213697E-2</v>
      </c>
    </row>
    <row r="148" spans="1:7" x14ac:dyDescent="0.25">
      <c r="A148" s="1">
        <v>45873</v>
      </c>
      <c r="B148">
        <v>204.07499999999999</v>
      </c>
      <c r="C148">
        <v>207.44300000000001</v>
      </c>
      <c r="D148">
        <v>201.251</v>
      </c>
      <c r="E148" s="2">
        <v>202.922</v>
      </c>
      <c r="F148">
        <v>75267434</v>
      </c>
      <c r="G148" s="3">
        <f t="shared" si="2"/>
        <v>4.7881953900620654E-3</v>
      </c>
    </row>
    <row r="149" spans="1:7" x14ac:dyDescent="0.25">
      <c r="A149" s="1">
        <v>45874</v>
      </c>
      <c r="B149">
        <v>202.97200000000001</v>
      </c>
      <c r="C149">
        <v>204.90799999999999</v>
      </c>
      <c r="D149">
        <v>201.73500000000001</v>
      </c>
      <c r="E149" s="2">
        <v>202.494</v>
      </c>
      <c r="F149">
        <v>44248043</v>
      </c>
      <c r="G149" s="3">
        <f t="shared" si="2"/>
        <v>-2.1091848099269537E-3</v>
      </c>
    </row>
    <row r="150" spans="1:7" x14ac:dyDescent="0.25">
      <c r="A150" s="1">
        <v>45875</v>
      </c>
      <c r="B150">
        <v>205.19800000000001</v>
      </c>
      <c r="C150">
        <v>214.928</v>
      </c>
      <c r="D150">
        <v>205.15799999999999</v>
      </c>
      <c r="E150" s="2">
        <v>212.80199999999999</v>
      </c>
      <c r="F150">
        <v>108711504</v>
      </c>
      <c r="G150" s="3">
        <f t="shared" si="2"/>
        <v>5.0905212006281633E-2</v>
      </c>
    </row>
    <row r="151" spans="1:7" x14ac:dyDescent="0.25">
      <c r="A151" s="1">
        <v>45876</v>
      </c>
      <c r="B151">
        <v>218.41499999999999</v>
      </c>
      <c r="C151">
        <v>220.386</v>
      </c>
      <c r="D151">
        <v>216.124</v>
      </c>
      <c r="E151" s="2">
        <v>219.56800000000001</v>
      </c>
      <c r="F151">
        <v>90414794</v>
      </c>
      <c r="G151" s="3">
        <f t="shared" si="2"/>
        <v>3.1794813958515522E-2</v>
      </c>
    </row>
    <row r="152" spans="1:7" x14ac:dyDescent="0.25">
      <c r="A152" s="1">
        <v>45877</v>
      </c>
      <c r="B152">
        <v>220.36600000000001</v>
      </c>
      <c r="C152">
        <v>230.51499999999999</v>
      </c>
      <c r="D152">
        <v>218.78899999999999</v>
      </c>
      <c r="E152" s="2">
        <v>228.86799999999999</v>
      </c>
      <c r="F152">
        <v>114093676</v>
      </c>
      <c r="G152" s="3">
        <f t="shared" si="2"/>
        <v>4.2355898855935215E-2</v>
      </c>
    </row>
    <row r="153" spans="1:7" x14ac:dyDescent="0.25">
      <c r="A153" s="1">
        <v>45880</v>
      </c>
      <c r="B153">
        <v>227.69900000000001</v>
      </c>
      <c r="C153">
        <v>229.33799999999999</v>
      </c>
      <c r="D153">
        <v>224.542</v>
      </c>
      <c r="E153" s="2">
        <v>226.96</v>
      </c>
      <c r="F153">
        <v>61866046</v>
      </c>
      <c r="G153" s="3">
        <f t="shared" si="2"/>
        <v>-8.3366831536081376E-3</v>
      </c>
    </row>
    <row r="154" spans="1:7" x14ac:dyDescent="0.25">
      <c r="A154" s="1">
        <v>45881</v>
      </c>
      <c r="B154">
        <v>227.78399999999999</v>
      </c>
      <c r="C154">
        <v>230.57599999999999</v>
      </c>
      <c r="D154">
        <v>226.85</v>
      </c>
      <c r="E154" s="2">
        <v>229.428</v>
      </c>
      <c r="F154">
        <v>55726269</v>
      </c>
      <c r="G154" s="3">
        <f t="shared" si="2"/>
        <v>1.0874162848078909E-2</v>
      </c>
    </row>
    <row r="155" spans="1:7" x14ac:dyDescent="0.25">
      <c r="A155" s="1">
        <v>45882</v>
      </c>
      <c r="B155">
        <v>230.846</v>
      </c>
      <c r="C155">
        <v>234.77199999999999</v>
      </c>
      <c r="D155">
        <v>230.20699999999999</v>
      </c>
      <c r="E155" s="2">
        <v>233.10400000000001</v>
      </c>
      <c r="F155">
        <v>69946285</v>
      </c>
      <c r="G155" s="3">
        <f t="shared" si="2"/>
        <v>1.6022455846714509E-2</v>
      </c>
    </row>
    <row r="156" spans="1:7" x14ac:dyDescent="0.25">
      <c r="A156" s="1">
        <v>45883</v>
      </c>
      <c r="B156">
        <v>233.828</v>
      </c>
      <c r="C156">
        <v>234.892</v>
      </c>
      <c r="D156">
        <v>230.626</v>
      </c>
      <c r="E156" s="2">
        <v>232.55500000000001</v>
      </c>
      <c r="F156">
        <v>51966602</v>
      </c>
      <c r="G156" s="3">
        <f t="shared" si="2"/>
        <v>-2.3551719404214708E-3</v>
      </c>
    </row>
    <row r="157" spans="1:7" x14ac:dyDescent="0.25">
      <c r="A157" s="1">
        <v>45884</v>
      </c>
      <c r="B157">
        <v>233.773</v>
      </c>
      <c r="C157">
        <v>234.053</v>
      </c>
      <c r="D157">
        <v>229.113</v>
      </c>
      <c r="E157" s="2">
        <v>231.36600000000001</v>
      </c>
      <c r="F157">
        <v>56092980</v>
      </c>
      <c r="G157" s="3">
        <f t="shared" si="2"/>
        <v>-5.1127690223817714E-3</v>
      </c>
    </row>
    <row r="158" spans="1:7" x14ac:dyDescent="0.25">
      <c r="A158" s="1">
        <v>45887</v>
      </c>
      <c r="B158">
        <v>231.476</v>
      </c>
      <c r="C158">
        <v>232.89400000000001</v>
      </c>
      <c r="D158">
        <v>229.887</v>
      </c>
      <c r="E158" s="2">
        <v>230.666</v>
      </c>
      <c r="F158">
        <v>37512517</v>
      </c>
      <c r="G158" s="3">
        <f t="shared" si="2"/>
        <v>-3.0255093661126398E-3</v>
      </c>
    </row>
    <row r="159" spans="1:7" x14ac:dyDescent="0.25">
      <c r="A159" s="1">
        <v>45888</v>
      </c>
      <c r="B159">
        <v>231.05099999999999</v>
      </c>
      <c r="C159">
        <v>232.64400000000001</v>
      </c>
      <c r="D159">
        <v>229.12799999999999</v>
      </c>
      <c r="E159" s="2">
        <v>230.33699999999999</v>
      </c>
      <c r="F159">
        <v>39440760</v>
      </c>
      <c r="G159" s="3">
        <f t="shared" si="2"/>
        <v>-1.4263047003026355E-3</v>
      </c>
    </row>
    <row r="160" spans="1:7" x14ac:dyDescent="0.25">
      <c r="A160" s="1">
        <v>45889</v>
      </c>
      <c r="B160">
        <v>229.75700000000001</v>
      </c>
      <c r="C160">
        <v>230.24700000000001</v>
      </c>
      <c r="D160">
        <v>225.55099999999999</v>
      </c>
      <c r="E160" s="2">
        <v>225.791</v>
      </c>
      <c r="F160">
        <v>42304835</v>
      </c>
      <c r="G160" s="3">
        <f t="shared" si="2"/>
        <v>-1.973629942215099E-2</v>
      </c>
    </row>
    <row r="161" spans="1:7" x14ac:dyDescent="0.25">
      <c r="A161" s="1">
        <v>45890</v>
      </c>
      <c r="B161">
        <v>226.05099999999999</v>
      </c>
      <c r="C161">
        <v>226.30099999999999</v>
      </c>
      <c r="D161">
        <v>223.56399999999999</v>
      </c>
      <c r="E161" s="2">
        <v>224.68199999999999</v>
      </c>
      <c r="F161">
        <v>30650932</v>
      </c>
      <c r="G161" s="3">
        <f t="shared" si="2"/>
        <v>-4.9116218095495781E-3</v>
      </c>
    </row>
    <row r="162" spans="1:7" x14ac:dyDescent="0.25">
      <c r="A162" s="1">
        <v>45891</v>
      </c>
      <c r="B162">
        <v>225.95099999999999</v>
      </c>
      <c r="C162">
        <v>228.86799999999999</v>
      </c>
      <c r="D162">
        <v>225.19200000000001</v>
      </c>
      <c r="E162" s="2">
        <v>227.53899999999999</v>
      </c>
      <c r="F162">
        <v>42518988</v>
      </c>
      <c r="G162" s="3">
        <f t="shared" si="2"/>
        <v>1.2715749370221021E-2</v>
      </c>
    </row>
    <row r="163" spans="1:7" x14ac:dyDescent="0.25">
      <c r="A163" s="1">
        <v>45894</v>
      </c>
      <c r="B163">
        <v>226.261</v>
      </c>
      <c r="C163">
        <v>229.078</v>
      </c>
      <c r="D163">
        <v>226.011</v>
      </c>
      <c r="E163" s="2">
        <v>226.94</v>
      </c>
      <c r="F163">
        <v>31013167</v>
      </c>
      <c r="G163" s="3">
        <f t="shared" si="2"/>
        <v>-2.6325157445536351E-3</v>
      </c>
    </row>
    <row r="164" spans="1:7" x14ac:dyDescent="0.25">
      <c r="A164" s="1">
        <v>45895</v>
      </c>
      <c r="B164">
        <v>226.65</v>
      </c>
      <c r="C164">
        <v>229.268</v>
      </c>
      <c r="D164">
        <v>224.47200000000001</v>
      </c>
      <c r="E164" s="2">
        <v>229.08799999999999</v>
      </c>
      <c r="F164">
        <v>54628011</v>
      </c>
      <c r="G164" s="3">
        <f t="shared" si="2"/>
        <v>9.4650568432184546E-3</v>
      </c>
    </row>
    <row r="165" spans="1:7" x14ac:dyDescent="0.25">
      <c r="A165" s="1">
        <v>45896</v>
      </c>
      <c r="B165">
        <v>228.38900000000001</v>
      </c>
      <c r="C165">
        <v>230.67599999999999</v>
      </c>
      <c r="D165">
        <v>228.03899999999999</v>
      </c>
      <c r="E165" s="2">
        <v>230.267</v>
      </c>
      <c r="F165">
        <v>31289815</v>
      </c>
      <c r="G165" s="3">
        <f t="shared" si="2"/>
        <v>5.1464939237323738E-3</v>
      </c>
    </row>
    <row r="166" spans="1:7" x14ac:dyDescent="0.25">
      <c r="A166" s="1">
        <v>45897</v>
      </c>
      <c r="B166">
        <v>230.596</v>
      </c>
      <c r="C166">
        <v>233.184</v>
      </c>
      <c r="D166">
        <v>229.113</v>
      </c>
      <c r="E166" s="2">
        <v>232.33500000000001</v>
      </c>
      <c r="F166">
        <v>38111609</v>
      </c>
      <c r="G166" s="3">
        <f t="shared" si="2"/>
        <v>8.9808787190522824E-3</v>
      </c>
    </row>
    <row r="167" spans="1:7" x14ac:dyDescent="0.25">
      <c r="A167" s="1">
        <v>45898</v>
      </c>
      <c r="B167">
        <v>232.285</v>
      </c>
      <c r="C167">
        <v>233.154</v>
      </c>
      <c r="D167">
        <v>231.14599999999999</v>
      </c>
      <c r="E167" s="2">
        <v>231.91499999999999</v>
      </c>
      <c r="F167">
        <v>39456648</v>
      </c>
      <c r="G167" s="3">
        <f t="shared" si="2"/>
        <v>-1.80773452127323E-3</v>
      </c>
    </row>
    <row r="168" spans="1:7" x14ac:dyDescent="0.25">
      <c r="A168" s="1">
        <v>45902</v>
      </c>
      <c r="B168">
        <v>229.02799999999999</v>
      </c>
      <c r="C168">
        <v>230.626</v>
      </c>
      <c r="D168">
        <v>226.75</v>
      </c>
      <c r="E168" s="2">
        <v>229.49799999999999</v>
      </c>
      <c r="F168">
        <v>44118364</v>
      </c>
      <c r="G168" s="3">
        <f t="shared" si="2"/>
        <v>-1.042192182480651E-2</v>
      </c>
    </row>
    <row r="169" spans="1:7" x14ac:dyDescent="0.25">
      <c r="A169" s="1">
        <v>45903</v>
      </c>
      <c r="B169">
        <v>236.98</v>
      </c>
      <c r="C169">
        <v>238.619</v>
      </c>
      <c r="D169">
        <v>234.13300000000001</v>
      </c>
      <c r="E169" s="2">
        <v>238.239</v>
      </c>
      <c r="F169">
        <v>66492229</v>
      </c>
      <c r="G169" s="3">
        <f t="shared" si="2"/>
        <v>3.808747788651759E-2</v>
      </c>
    </row>
    <row r="170" spans="1:7" x14ac:dyDescent="0.25">
      <c r="A170" s="1">
        <v>45904</v>
      </c>
      <c r="B170">
        <v>238.21899999999999</v>
      </c>
      <c r="C170">
        <v>239.66800000000001</v>
      </c>
      <c r="D170">
        <v>236.511</v>
      </c>
      <c r="E170" s="2">
        <v>239.548</v>
      </c>
      <c r="F170">
        <v>47595522</v>
      </c>
      <c r="G170" s="3">
        <f t="shared" si="2"/>
        <v>5.4944824315078453E-3</v>
      </c>
    </row>
    <row r="171" spans="1:7" x14ac:dyDescent="0.25">
      <c r="A171" s="1">
        <v>45905</v>
      </c>
      <c r="B171">
        <v>239.76300000000001</v>
      </c>
      <c r="C171">
        <v>241.08600000000001</v>
      </c>
      <c r="D171">
        <v>238.25899999999999</v>
      </c>
      <c r="E171" s="2">
        <v>239.458</v>
      </c>
      <c r="F171">
        <v>54923587</v>
      </c>
      <c r="G171" s="3">
        <f t="shared" si="2"/>
        <v>-3.757075826139371E-4</v>
      </c>
    </row>
    <row r="172" spans="1:7" x14ac:dyDescent="0.25">
      <c r="A172" s="1">
        <v>45908</v>
      </c>
      <c r="B172">
        <v>239.06800000000001</v>
      </c>
      <c r="C172">
        <v>239.917</v>
      </c>
      <c r="D172">
        <v>236.11099999999999</v>
      </c>
      <c r="E172" s="2">
        <v>237.65</v>
      </c>
      <c r="F172">
        <v>49046994</v>
      </c>
      <c r="G172" s="3">
        <f t="shared" si="2"/>
        <v>-7.5503846185969682E-3</v>
      </c>
    </row>
    <row r="173" spans="1:7" x14ac:dyDescent="0.25">
      <c r="A173" s="1">
        <v>45909</v>
      </c>
      <c r="B173">
        <v>236.77</v>
      </c>
      <c r="C173">
        <v>238.54900000000001</v>
      </c>
      <c r="D173">
        <v>233.13399999999999</v>
      </c>
      <c r="E173" s="2">
        <v>234.12299999999999</v>
      </c>
      <c r="F173">
        <v>66378202</v>
      </c>
      <c r="G173" s="3">
        <f t="shared" si="2"/>
        <v>-1.4841152956027835E-2</v>
      </c>
    </row>
    <row r="174" spans="1:7" x14ac:dyDescent="0.25">
      <c r="A174" s="1">
        <v>45910</v>
      </c>
      <c r="B174">
        <v>231.96</v>
      </c>
      <c r="C174">
        <v>232.19499999999999</v>
      </c>
      <c r="D174">
        <v>225.73099999999999</v>
      </c>
      <c r="E174" s="2">
        <v>226.57</v>
      </c>
      <c r="F174">
        <v>83521696</v>
      </c>
      <c r="G174" s="3">
        <f t="shared" si="2"/>
        <v>-3.2260820167177073E-2</v>
      </c>
    </row>
    <row r="175" spans="1:7" x14ac:dyDescent="0.25">
      <c r="A175" s="1">
        <v>45911</v>
      </c>
      <c r="B175">
        <v>226.655</v>
      </c>
      <c r="C175">
        <v>230.227</v>
      </c>
      <c r="D175">
        <v>226.43100000000001</v>
      </c>
      <c r="E175" s="2">
        <v>229.80699999999999</v>
      </c>
      <c r="F175">
        <v>50257249</v>
      </c>
      <c r="G175" s="3">
        <f t="shared" si="2"/>
        <v>1.4286975327713267E-2</v>
      </c>
    </row>
    <row r="176" spans="1:7" x14ac:dyDescent="0.25">
      <c r="A176" s="1">
        <v>45912</v>
      </c>
      <c r="B176">
        <v>228.99799999999999</v>
      </c>
      <c r="C176">
        <v>234.28299999999999</v>
      </c>
      <c r="D176">
        <v>228.798</v>
      </c>
      <c r="E176" s="2">
        <v>233.84299999999999</v>
      </c>
      <c r="F176">
        <v>55878331</v>
      </c>
      <c r="G176" s="3">
        <f t="shared" si="2"/>
        <v>1.7562563368391744E-2</v>
      </c>
    </row>
    <row r="177" spans="1:7" x14ac:dyDescent="0.25">
      <c r="A177" s="1">
        <v>45915</v>
      </c>
      <c r="B177">
        <v>236.77</v>
      </c>
      <c r="C177">
        <v>237.959</v>
      </c>
      <c r="D177">
        <v>234.80199999999999</v>
      </c>
      <c r="E177" s="2">
        <v>236.471</v>
      </c>
      <c r="F177">
        <v>42740916</v>
      </c>
      <c r="G177" s="3">
        <f t="shared" si="2"/>
        <v>1.1238309464042176E-2</v>
      </c>
    </row>
    <row r="178" spans="1:7" x14ac:dyDescent="0.25">
      <c r="A178" s="1">
        <v>45916</v>
      </c>
      <c r="B178">
        <v>236.94499999999999</v>
      </c>
      <c r="C178">
        <v>240.98599999999999</v>
      </c>
      <c r="D178">
        <v>236.095</v>
      </c>
      <c r="E178" s="2">
        <v>237.91900000000001</v>
      </c>
      <c r="F178">
        <v>63482578</v>
      </c>
      <c r="G178" s="3">
        <f t="shared" si="2"/>
        <v>6.1233724219883516E-3</v>
      </c>
    </row>
    <row r="179" spans="1:7" x14ac:dyDescent="0.25">
      <c r="A179" s="1">
        <v>45917</v>
      </c>
      <c r="B179">
        <v>238.739</v>
      </c>
      <c r="C179">
        <v>239.86699999999999</v>
      </c>
      <c r="D179">
        <v>237.5</v>
      </c>
      <c r="E179" s="2">
        <v>238.75899999999999</v>
      </c>
      <c r="F179">
        <v>46553101</v>
      </c>
      <c r="G179" s="3">
        <f t="shared" si="2"/>
        <v>3.5306133600089733E-3</v>
      </c>
    </row>
    <row r="180" spans="1:7" x14ac:dyDescent="0.25">
      <c r="A180" s="1">
        <v>45918</v>
      </c>
      <c r="B180">
        <v>239.738</v>
      </c>
      <c r="C180">
        <v>240.96600000000001</v>
      </c>
      <c r="D180">
        <v>236.42099999999999</v>
      </c>
      <c r="E180" s="2">
        <v>237.65</v>
      </c>
      <c r="F180">
        <v>44292471</v>
      </c>
      <c r="G180" s="3">
        <f t="shared" si="2"/>
        <v>-4.644851084147532E-3</v>
      </c>
    </row>
    <row r="181" spans="1:7" x14ac:dyDescent="0.25">
      <c r="A181" s="1">
        <v>45919</v>
      </c>
      <c r="B181">
        <v>240.99100000000001</v>
      </c>
      <c r="C181">
        <v>246.06100000000001</v>
      </c>
      <c r="D181">
        <v>239.97800000000001</v>
      </c>
      <c r="E181" s="2">
        <v>245.262</v>
      </c>
      <c r="F181">
        <v>163900043</v>
      </c>
      <c r="G181" s="3">
        <f t="shared" si="2"/>
        <v>3.2030296654744349E-2</v>
      </c>
    </row>
    <row r="182" spans="1:7" x14ac:dyDescent="0.25">
      <c r="A182" s="1">
        <v>45922</v>
      </c>
      <c r="B182">
        <v>248.06</v>
      </c>
      <c r="C182">
        <v>256.39100000000002</v>
      </c>
      <c r="D182">
        <v>247.88</v>
      </c>
      <c r="E182" s="2">
        <v>255.83199999999999</v>
      </c>
      <c r="F182">
        <v>105619703</v>
      </c>
      <c r="G182" s="3">
        <f t="shared" si="2"/>
        <v>4.3096769984750975E-2</v>
      </c>
    </row>
    <row r="183" spans="1:7" x14ac:dyDescent="0.25">
      <c r="A183" s="1">
        <v>45923</v>
      </c>
      <c r="B183">
        <v>255.62700000000001</v>
      </c>
      <c r="C183">
        <v>257.09100000000001</v>
      </c>
      <c r="D183">
        <v>253.334</v>
      </c>
      <c r="E183" s="2">
        <v>254.184</v>
      </c>
      <c r="F183">
        <v>60333617</v>
      </c>
      <c r="G183" s="3">
        <f t="shared" si="2"/>
        <v>-6.44172738359547E-3</v>
      </c>
    </row>
    <row r="184" spans="1:7" x14ac:dyDescent="0.25">
      <c r="A184" s="1">
        <v>45924</v>
      </c>
      <c r="B184">
        <v>254.97300000000001</v>
      </c>
      <c r="C184">
        <v>255.49199999999999</v>
      </c>
      <c r="D184">
        <v>250.797</v>
      </c>
      <c r="E184" s="2">
        <v>252.066</v>
      </c>
      <c r="F184">
        <v>42344718</v>
      </c>
      <c r="G184" s="3">
        <f t="shared" si="2"/>
        <v>-8.3325465017467463E-3</v>
      </c>
    </row>
    <row r="185" spans="1:7" x14ac:dyDescent="0.25">
      <c r="A185" s="1">
        <v>45925</v>
      </c>
      <c r="B185">
        <v>252.96</v>
      </c>
      <c r="C185">
        <v>256.92099999999999</v>
      </c>
      <c r="D185">
        <v>251.46799999999999</v>
      </c>
      <c r="E185" s="2">
        <v>256.62099999999998</v>
      </c>
      <c r="F185">
        <v>55255587</v>
      </c>
      <c r="G185" s="3">
        <f t="shared" si="2"/>
        <v>1.8070664032435863E-2</v>
      </c>
    </row>
    <row r="186" spans="1:7" x14ac:dyDescent="0.25">
      <c r="A186" s="1">
        <v>45926</v>
      </c>
      <c r="B186">
        <v>253.84899999999999</v>
      </c>
      <c r="C186">
        <v>257.351</v>
      </c>
      <c r="D186">
        <v>253.53399999999999</v>
      </c>
      <c r="E186" s="2">
        <v>255.21299999999999</v>
      </c>
      <c r="F186">
        <v>46120923</v>
      </c>
      <c r="G186" s="3">
        <f t="shared" si="2"/>
        <v>-5.4866904890869695E-3</v>
      </c>
    </row>
    <row r="187" spans="1:7" x14ac:dyDescent="0.25">
      <c r="A187" s="1">
        <v>45929</v>
      </c>
      <c r="B187">
        <v>254.31299999999999</v>
      </c>
      <c r="C187">
        <v>254.75299999999999</v>
      </c>
      <c r="D187">
        <v>252.76499999999999</v>
      </c>
      <c r="E187" s="2">
        <v>254.184</v>
      </c>
      <c r="F187">
        <v>40166586</v>
      </c>
      <c r="G187" s="3">
        <f t="shared" si="2"/>
        <v>-4.0319262733481305E-3</v>
      </c>
    </row>
    <row r="188" spans="1:7" x14ac:dyDescent="0.25">
      <c r="A188" s="1">
        <v>45930</v>
      </c>
      <c r="B188">
        <v>254.608</v>
      </c>
      <c r="C188">
        <v>255.67099999999999</v>
      </c>
      <c r="D188">
        <v>252.86500000000001</v>
      </c>
      <c r="E188" s="2">
        <v>254.38300000000001</v>
      </c>
      <c r="F188">
        <v>37740809</v>
      </c>
      <c r="G188" s="3">
        <f t="shared" si="2"/>
        <v>7.8289742863442337E-4</v>
      </c>
    </row>
    <row r="189" spans="1:7" x14ac:dyDescent="0.25">
      <c r="A189" s="1">
        <v>45931</v>
      </c>
      <c r="B189">
        <v>254.79300000000001</v>
      </c>
      <c r="C189">
        <v>258.53899999999999</v>
      </c>
      <c r="D189">
        <v>254.68299999999999</v>
      </c>
      <c r="E189" s="2">
        <v>255.203</v>
      </c>
      <c r="F189">
        <v>48761162</v>
      </c>
      <c r="G189" s="3">
        <f t="shared" si="2"/>
        <v>3.2234858461453525E-3</v>
      </c>
    </row>
    <row r="190" spans="1:7" x14ac:dyDescent="0.25">
      <c r="A190" s="1">
        <v>45932</v>
      </c>
      <c r="B190">
        <v>256.327</v>
      </c>
      <c r="C190">
        <v>257.93</v>
      </c>
      <c r="D190">
        <v>253.904</v>
      </c>
      <c r="E190" s="2">
        <v>256.88099999999997</v>
      </c>
      <c r="F190">
        <v>42671564</v>
      </c>
      <c r="G190" s="3">
        <f t="shared" si="2"/>
        <v>6.575157815542799E-3</v>
      </c>
    </row>
    <row r="191" spans="1:7" x14ac:dyDescent="0.25">
      <c r="A191" s="1">
        <v>45933</v>
      </c>
      <c r="B191">
        <v>254.41800000000001</v>
      </c>
      <c r="C191">
        <v>258.98899999999998</v>
      </c>
      <c r="D191">
        <v>253.70400000000001</v>
      </c>
      <c r="E191" s="2">
        <v>257.77</v>
      </c>
      <c r="F191">
        <v>49203264</v>
      </c>
      <c r="G191" s="3">
        <f t="shared" si="2"/>
        <v>3.4607464156555376E-3</v>
      </c>
    </row>
    <row r="192" spans="1:7" x14ac:dyDescent="0.25">
      <c r="A192" s="1">
        <v>45936</v>
      </c>
      <c r="B192">
        <v>257.74</v>
      </c>
      <c r="C192">
        <v>258.81900000000002</v>
      </c>
      <c r="D192">
        <v>254.803</v>
      </c>
      <c r="E192" s="2">
        <v>256.44099999999997</v>
      </c>
      <c r="F192">
        <v>44707414</v>
      </c>
      <c r="G192" s="3">
        <f t="shared" si="2"/>
        <v>-5.1557590099701586E-3</v>
      </c>
    </row>
    <row r="193" spans="1:7" x14ac:dyDescent="0.25">
      <c r="A193" s="1">
        <v>45937</v>
      </c>
      <c r="B193">
        <v>256.55599999999998</v>
      </c>
      <c r="C193">
        <v>257.15100000000001</v>
      </c>
      <c r="D193">
        <v>255.18299999999999</v>
      </c>
      <c r="E193" s="2">
        <v>256.23200000000003</v>
      </c>
      <c r="F193">
        <v>31986753</v>
      </c>
      <c r="G193" s="3">
        <f t="shared" si="2"/>
        <v>-8.1500228122627176E-4</v>
      </c>
    </row>
    <row r="194" spans="1:7" x14ac:dyDescent="0.25">
      <c r="A194" s="1">
        <v>45938</v>
      </c>
      <c r="B194">
        <v>256.27199999999999</v>
      </c>
      <c r="C194">
        <v>258.27</v>
      </c>
      <c r="D194">
        <v>255.86199999999999</v>
      </c>
      <c r="E194" s="2">
        <v>257.81</v>
      </c>
      <c r="F194">
        <v>36532274</v>
      </c>
      <c r="G194" s="3">
        <f t="shared" si="2"/>
        <v>6.1584813762526709E-3</v>
      </c>
    </row>
    <row r="195" spans="1:7" x14ac:dyDescent="0.25">
      <c r="A195" s="1">
        <v>45939</v>
      </c>
      <c r="B195">
        <v>257.55500000000001</v>
      </c>
      <c r="C195">
        <v>257.75</v>
      </c>
      <c r="D195">
        <v>252.89500000000001</v>
      </c>
      <c r="E195" s="2">
        <v>253.79400000000001</v>
      </c>
      <c r="F195">
        <v>38359160</v>
      </c>
      <c r="G195" s="3">
        <f t="shared" si="2"/>
        <v>-1.5577363174430748E-2</v>
      </c>
    </row>
    <row r="196" spans="1:7" x14ac:dyDescent="0.25">
      <c r="A196" s="1">
        <v>45940</v>
      </c>
      <c r="B196">
        <v>254.69300000000001</v>
      </c>
      <c r="C196">
        <v>256.13200000000001</v>
      </c>
      <c r="D196">
        <v>243.76400000000001</v>
      </c>
      <c r="E196" s="2">
        <v>245.03200000000001</v>
      </c>
      <c r="F196">
        <v>62059199</v>
      </c>
      <c r="G196" s="3">
        <f t="shared" si="2"/>
        <v>-3.452406282260416E-2</v>
      </c>
    </row>
    <row r="197" spans="1:7" x14ac:dyDescent="0.25">
      <c r="A197" s="1">
        <v>45943</v>
      </c>
      <c r="B197">
        <v>249.13800000000001</v>
      </c>
      <c r="C197">
        <v>249.44800000000001</v>
      </c>
      <c r="D197">
        <v>245.322</v>
      </c>
      <c r="E197" s="2">
        <v>247.42</v>
      </c>
      <c r="F197">
        <v>38179917</v>
      </c>
      <c r="G197" s="3">
        <f t="shared" ref="G197:G252" si="3">((E197-E196)/E196)*100%</f>
        <v>9.7456658722125146E-3</v>
      </c>
    </row>
    <row r="198" spans="1:7" x14ac:dyDescent="0.25">
      <c r="A198" s="1">
        <v>45944</v>
      </c>
      <c r="B198">
        <v>246.36099999999999</v>
      </c>
      <c r="C198">
        <v>248.60400000000001</v>
      </c>
      <c r="D198">
        <v>244.46299999999999</v>
      </c>
      <c r="E198" s="2">
        <v>247.53</v>
      </c>
      <c r="F198">
        <v>35512377</v>
      </c>
      <c r="G198" s="3">
        <f t="shared" si="3"/>
        <v>4.4458814970501032E-4</v>
      </c>
    </row>
    <row r="199" spans="1:7" x14ac:dyDescent="0.25">
      <c r="A199" s="1">
        <v>45945</v>
      </c>
      <c r="B199">
        <v>249.24299999999999</v>
      </c>
      <c r="C199">
        <v>251.57599999999999</v>
      </c>
      <c r="D199">
        <v>247.23</v>
      </c>
      <c r="E199" s="2">
        <v>249.09899999999999</v>
      </c>
      <c r="F199">
        <v>33926467</v>
      </c>
      <c r="G199" s="3">
        <f t="shared" si="3"/>
        <v>6.3386256211367849E-3</v>
      </c>
    </row>
    <row r="200" spans="1:7" x14ac:dyDescent="0.25">
      <c r="A200" s="1">
        <v>45946</v>
      </c>
      <c r="B200">
        <v>248.01</v>
      </c>
      <c r="C200">
        <v>248.79900000000001</v>
      </c>
      <c r="D200">
        <v>244.893</v>
      </c>
      <c r="E200" s="2">
        <v>247.21</v>
      </c>
      <c r="F200">
        <v>39815533</v>
      </c>
      <c r="G200" s="3">
        <f t="shared" si="3"/>
        <v>-7.5833303224821522E-3</v>
      </c>
    </row>
    <row r="201" spans="1:7" x14ac:dyDescent="0.25">
      <c r="A201" s="1">
        <v>45947</v>
      </c>
      <c r="B201">
        <v>247.78</v>
      </c>
      <c r="C201">
        <v>253.13499999999999</v>
      </c>
      <c r="D201">
        <v>247.03100000000001</v>
      </c>
      <c r="E201" s="2">
        <v>252.04599999999999</v>
      </c>
      <c r="F201">
        <v>49194603</v>
      </c>
      <c r="G201" s="3">
        <f t="shared" si="3"/>
        <v>1.9562315440313838E-2</v>
      </c>
    </row>
    <row r="202" spans="1:7" x14ac:dyDescent="0.25">
      <c r="A202" s="1">
        <v>45950</v>
      </c>
      <c r="B202">
        <v>255.637</v>
      </c>
      <c r="C202">
        <v>264.11900000000003</v>
      </c>
      <c r="D202">
        <v>255.38200000000001</v>
      </c>
      <c r="E202" s="2">
        <v>261.98599999999999</v>
      </c>
      <c r="F202">
        <v>90570742</v>
      </c>
      <c r="G202" s="3">
        <f t="shared" si="3"/>
        <v>3.9437245582155632E-2</v>
      </c>
    </row>
    <row r="203" spans="1:7" x14ac:dyDescent="0.25">
      <c r="A203" s="1">
        <v>45951</v>
      </c>
      <c r="B203">
        <v>261.62599999999998</v>
      </c>
      <c r="C203">
        <v>265.03300000000002</v>
      </c>
      <c r="D203">
        <v>261.57600000000002</v>
      </c>
      <c r="E203" s="2">
        <v>262.51600000000002</v>
      </c>
      <c r="F203">
        <v>46741214</v>
      </c>
      <c r="G203" s="3">
        <f t="shared" si="3"/>
        <v>2.023008863069132E-3</v>
      </c>
    </row>
    <row r="204" spans="1:7" x14ac:dyDescent="0.25">
      <c r="A204" s="1">
        <v>45952</v>
      </c>
      <c r="B204">
        <v>262.39600000000002</v>
      </c>
      <c r="C204">
        <v>262.59500000000003</v>
      </c>
      <c r="D204">
        <v>255.18299999999999</v>
      </c>
      <c r="E204" s="2">
        <v>258.2</v>
      </c>
      <c r="F204">
        <v>45058891</v>
      </c>
      <c r="G204" s="3">
        <f t="shared" si="3"/>
        <v>-1.6440902649743371E-2</v>
      </c>
    </row>
    <row r="205" spans="1:7" x14ac:dyDescent="0.25">
      <c r="A205" s="1">
        <v>45953</v>
      </c>
      <c r="B205">
        <v>259.68799999999999</v>
      </c>
      <c r="C205">
        <v>260.36799999999999</v>
      </c>
      <c r="D205">
        <v>257.76</v>
      </c>
      <c r="E205" s="2">
        <v>259.32900000000001</v>
      </c>
      <c r="F205">
        <v>32786693</v>
      </c>
      <c r="G205" s="3">
        <f t="shared" si="3"/>
        <v>4.3725793958172702E-3</v>
      </c>
    </row>
    <row r="206" spans="1:7" x14ac:dyDescent="0.25">
      <c r="A206" s="1">
        <v>45954</v>
      </c>
      <c r="B206">
        <v>260.93700000000001</v>
      </c>
      <c r="C206">
        <v>263.87400000000002</v>
      </c>
      <c r="D206">
        <v>258.92899999999997</v>
      </c>
      <c r="E206" s="2">
        <v>262.565</v>
      </c>
      <c r="F206">
        <v>38290799</v>
      </c>
      <c r="G206" s="3">
        <f t="shared" si="3"/>
        <v>1.2478357607517825E-2</v>
      </c>
    </row>
    <row r="207" spans="1:7" x14ac:dyDescent="0.25">
      <c r="A207" s="1">
        <v>45957</v>
      </c>
      <c r="B207">
        <v>264.62299999999999</v>
      </c>
      <c r="C207">
        <v>268.85899999999998</v>
      </c>
      <c r="D207">
        <v>264.39400000000001</v>
      </c>
      <c r="E207" s="2">
        <v>268.55</v>
      </c>
      <c r="F207">
        <v>44931666</v>
      </c>
      <c r="G207" s="3">
        <f t="shared" si="3"/>
        <v>2.2794355683354649E-2</v>
      </c>
    </row>
    <row r="208" spans="1:7" x14ac:dyDescent="0.25">
      <c r="A208" s="1">
        <v>45958</v>
      </c>
      <c r="B208">
        <v>268.72500000000002</v>
      </c>
      <c r="C208">
        <v>269.62900000000002</v>
      </c>
      <c r="D208">
        <v>267.89</v>
      </c>
      <c r="E208" s="2">
        <v>268.73899999999998</v>
      </c>
      <c r="F208">
        <v>41575022</v>
      </c>
      <c r="G208" s="3">
        <f t="shared" si="3"/>
        <v>7.0377955687940617E-4</v>
      </c>
    </row>
    <row r="209" spans="1:7" x14ac:dyDescent="0.25">
      <c r="A209" s="1">
        <v>45959</v>
      </c>
      <c r="B209">
        <v>269.01400000000001</v>
      </c>
      <c r="C209">
        <v>271.14699999999999</v>
      </c>
      <c r="D209">
        <v>266.851</v>
      </c>
      <c r="E209" s="2">
        <v>269.43900000000002</v>
      </c>
      <c r="F209">
        <v>51136264</v>
      </c>
      <c r="G209" s="3">
        <f t="shared" si="3"/>
        <v>2.6047577761324019E-3</v>
      </c>
    </row>
    <row r="210" spans="1:7" x14ac:dyDescent="0.25">
      <c r="A210" s="1">
        <v>45960</v>
      </c>
      <c r="B210">
        <v>271.72699999999998</v>
      </c>
      <c r="C210">
        <v>273.875</v>
      </c>
      <c r="D210">
        <v>268.22000000000003</v>
      </c>
      <c r="E210" s="2">
        <v>271.137</v>
      </c>
      <c r="F210">
        <v>69954281</v>
      </c>
      <c r="G210" s="3">
        <f t="shared" si="3"/>
        <v>6.3019830091411372E-3</v>
      </c>
    </row>
    <row r="211" spans="1:7" x14ac:dyDescent="0.25">
      <c r="A211" s="1">
        <v>45961</v>
      </c>
      <c r="B211">
        <v>276.72199999999998</v>
      </c>
      <c r="C211">
        <v>277.05099999999999</v>
      </c>
      <c r="D211">
        <v>268.899</v>
      </c>
      <c r="E211" s="2">
        <v>270.108</v>
      </c>
      <c r="F211">
        <v>86250652</v>
      </c>
      <c r="G211" s="3">
        <f t="shared" si="3"/>
        <v>-3.795129399528638E-3</v>
      </c>
    </row>
    <row r="212" spans="1:7" x14ac:dyDescent="0.25">
      <c r="A212" s="1">
        <v>45964</v>
      </c>
      <c r="B212">
        <v>270.15800000000002</v>
      </c>
      <c r="C212">
        <v>270.58800000000002</v>
      </c>
      <c r="D212">
        <v>265.99200000000002</v>
      </c>
      <c r="E212" s="2">
        <v>268.78899999999999</v>
      </c>
      <c r="F212">
        <v>50243241</v>
      </c>
      <c r="G212" s="3">
        <f t="shared" si="3"/>
        <v>-4.8832318924282763E-3</v>
      </c>
    </row>
    <row r="213" spans="1:7" x14ac:dyDescent="0.25">
      <c r="A213" s="1">
        <v>45965</v>
      </c>
      <c r="B213">
        <v>268.065</v>
      </c>
      <c r="C213">
        <v>271.22300000000001</v>
      </c>
      <c r="D213">
        <v>267.35599999999999</v>
      </c>
      <c r="E213" s="2">
        <v>269.77800000000002</v>
      </c>
      <c r="F213">
        <v>49322612</v>
      </c>
      <c r="G213" s="3">
        <f t="shared" si="3"/>
        <v>3.6794660495780437E-3</v>
      </c>
    </row>
    <row r="214" spans="1:7" x14ac:dyDescent="0.25">
      <c r="A214" s="1">
        <v>45966</v>
      </c>
      <c r="B214">
        <v>268.35000000000002</v>
      </c>
      <c r="C214">
        <v>271.43700000000001</v>
      </c>
      <c r="D214">
        <v>266.67099999999999</v>
      </c>
      <c r="E214" s="2">
        <v>269.87799999999999</v>
      </c>
      <c r="F214">
        <v>43725417</v>
      </c>
      <c r="G214" s="3">
        <f t="shared" si="3"/>
        <v>3.7067514771391992E-4</v>
      </c>
    </row>
    <row r="215" spans="1:7" x14ac:dyDescent="0.25">
      <c r="A215" s="1">
        <v>45967</v>
      </c>
      <c r="B215">
        <v>267.63099999999997</v>
      </c>
      <c r="C215">
        <v>273.13499999999999</v>
      </c>
      <c r="D215">
        <v>267.63099999999997</v>
      </c>
      <c r="E215" s="2">
        <v>269.50900000000001</v>
      </c>
      <c r="F215">
        <v>51253681</v>
      </c>
      <c r="G215" s="3">
        <f t="shared" si="3"/>
        <v>-1.367284476689361E-3</v>
      </c>
    </row>
    <row r="216" spans="1:7" x14ac:dyDescent="0.25">
      <c r="A216" s="1">
        <v>45968</v>
      </c>
      <c r="B216">
        <v>269.53399999999999</v>
      </c>
      <c r="C216">
        <v>272.02600000000001</v>
      </c>
      <c r="D216">
        <v>266.512</v>
      </c>
      <c r="E216" s="2">
        <v>268.20999999999998</v>
      </c>
      <c r="F216">
        <v>48274116</v>
      </c>
      <c r="G216" s="3">
        <f t="shared" si="3"/>
        <v>-4.8198761451381401E-3</v>
      </c>
    </row>
    <row r="217" spans="1:7" x14ac:dyDescent="0.25">
      <c r="A217" s="1">
        <v>45971</v>
      </c>
      <c r="B217">
        <v>268.95999999999998</v>
      </c>
      <c r="C217">
        <v>273.73</v>
      </c>
      <c r="D217">
        <v>267.45499999999998</v>
      </c>
      <c r="E217" s="2">
        <v>269.43</v>
      </c>
      <c r="F217">
        <v>41312412</v>
      </c>
      <c r="G217" s="3">
        <f t="shared" si="3"/>
        <v>4.5486745460647533E-3</v>
      </c>
    </row>
    <row r="218" spans="1:7" x14ac:dyDescent="0.25">
      <c r="A218" s="1">
        <v>45972</v>
      </c>
      <c r="B218">
        <v>269.81</v>
      </c>
      <c r="C218">
        <v>275.91000000000003</v>
      </c>
      <c r="D218">
        <v>269.8</v>
      </c>
      <c r="E218" s="2">
        <v>275.25</v>
      </c>
      <c r="F218">
        <v>46208318</v>
      </c>
      <c r="G218" s="3">
        <f t="shared" si="3"/>
        <v>2.1601158000222668E-2</v>
      </c>
    </row>
    <row r="219" spans="1:7" x14ac:dyDescent="0.25">
      <c r="A219" s="1">
        <v>45973</v>
      </c>
      <c r="B219" t="s">
        <v>0</v>
      </c>
      <c r="C219">
        <v>275.73</v>
      </c>
      <c r="D219">
        <v>271.7</v>
      </c>
      <c r="E219" s="2">
        <v>273.47000000000003</v>
      </c>
      <c r="F219">
        <v>48397982</v>
      </c>
      <c r="G219" s="3">
        <f t="shared" si="3"/>
        <v>-6.4668483197092563E-3</v>
      </c>
    </row>
    <row r="220" spans="1:7" x14ac:dyDescent="0.25">
      <c r="A220" s="1">
        <v>45974</v>
      </c>
      <c r="B220">
        <v>274.11</v>
      </c>
      <c r="C220">
        <v>276.69900000000001</v>
      </c>
      <c r="D220">
        <v>272.08999999999997</v>
      </c>
      <c r="E220" s="2">
        <v>272.95</v>
      </c>
      <c r="F220">
        <v>49602794</v>
      </c>
      <c r="G220" s="3">
        <f t="shared" si="3"/>
        <v>-1.9014882802502601E-3</v>
      </c>
    </row>
    <row r="221" spans="1:7" x14ac:dyDescent="0.25">
      <c r="A221" s="1">
        <v>45975</v>
      </c>
      <c r="B221">
        <v>271.05</v>
      </c>
      <c r="C221">
        <v>275.95999999999998</v>
      </c>
      <c r="D221">
        <v>269.60000000000002</v>
      </c>
      <c r="E221" s="2">
        <v>272.41000000000003</v>
      </c>
      <c r="F221">
        <v>47431331</v>
      </c>
      <c r="G221" s="3">
        <f t="shared" si="3"/>
        <v>-1.9783843194722977E-3</v>
      </c>
    </row>
    <row r="222" spans="1:7" x14ac:dyDescent="0.25">
      <c r="A222" s="1">
        <v>45978</v>
      </c>
      <c r="B222">
        <v>268.815</v>
      </c>
      <c r="C222">
        <v>270.49</v>
      </c>
      <c r="D222">
        <v>265.73</v>
      </c>
      <c r="E222" s="2">
        <v>267.45999999999998</v>
      </c>
      <c r="F222">
        <v>45018260</v>
      </c>
      <c r="G222" s="3">
        <f t="shared" si="3"/>
        <v>-1.8171139091810305E-2</v>
      </c>
    </row>
    <row r="223" spans="1:7" x14ac:dyDescent="0.25">
      <c r="A223" s="1">
        <v>45979</v>
      </c>
      <c r="B223">
        <v>269.99</v>
      </c>
      <c r="C223">
        <v>270.70999999999998</v>
      </c>
      <c r="D223">
        <v>265.32</v>
      </c>
      <c r="E223" s="2">
        <v>267.44</v>
      </c>
      <c r="F223">
        <v>45677278</v>
      </c>
      <c r="G223" s="3">
        <f t="shared" si="3"/>
        <v>-7.477753682786888E-5</v>
      </c>
    </row>
    <row r="224" spans="1:7" x14ac:dyDescent="0.25">
      <c r="A224" s="1">
        <v>45980</v>
      </c>
      <c r="B224">
        <v>265.52499999999998</v>
      </c>
      <c r="C224">
        <v>272.20999999999998</v>
      </c>
      <c r="D224">
        <v>265.5</v>
      </c>
      <c r="E224" s="2">
        <v>268.56</v>
      </c>
      <c r="F224">
        <v>40424492</v>
      </c>
      <c r="G224" s="3">
        <f t="shared" si="3"/>
        <v>4.1878552198624163E-3</v>
      </c>
    </row>
    <row r="225" spans="1:7" x14ac:dyDescent="0.25">
      <c r="A225" s="1">
        <v>45981</v>
      </c>
      <c r="B225">
        <v>270.83</v>
      </c>
      <c r="C225">
        <v>275.43</v>
      </c>
      <c r="D225">
        <v>265.92</v>
      </c>
      <c r="E225" s="2">
        <v>266.25</v>
      </c>
      <c r="F225">
        <v>45823568</v>
      </c>
      <c r="G225" s="3">
        <f t="shared" si="3"/>
        <v>-8.6014298480786497E-3</v>
      </c>
    </row>
    <row r="226" spans="1:7" x14ac:dyDescent="0.25">
      <c r="A226" s="1">
        <v>45982</v>
      </c>
      <c r="B226">
        <v>265.95</v>
      </c>
      <c r="C226">
        <v>273.33</v>
      </c>
      <c r="D226">
        <v>265.67</v>
      </c>
      <c r="E226" s="2">
        <v>271.49</v>
      </c>
      <c r="F226">
        <v>59030832</v>
      </c>
      <c r="G226" s="3">
        <f t="shared" si="3"/>
        <v>1.9680751173708953E-2</v>
      </c>
    </row>
    <row r="227" spans="1:7" x14ac:dyDescent="0.25">
      <c r="A227" s="1">
        <v>45985</v>
      </c>
      <c r="B227">
        <v>270.89999999999998</v>
      </c>
      <c r="C227" t="s">
        <v>1</v>
      </c>
      <c r="D227">
        <v>270.89999999999998</v>
      </c>
      <c r="E227" s="2">
        <v>275.92</v>
      </c>
      <c r="F227">
        <v>65585796</v>
      </c>
      <c r="G227" s="3">
        <f t="shared" si="3"/>
        <v>1.6317359755423796E-2</v>
      </c>
    </row>
    <row r="228" spans="1:7" x14ac:dyDescent="0.25">
      <c r="A228" s="1">
        <v>45986</v>
      </c>
      <c r="B228">
        <v>275.27</v>
      </c>
      <c r="C228">
        <v>280.38</v>
      </c>
      <c r="D228">
        <v>275.25</v>
      </c>
      <c r="E228" s="2">
        <v>276.97000000000003</v>
      </c>
      <c r="F228">
        <v>46914220</v>
      </c>
      <c r="G228" s="3">
        <f t="shared" si="3"/>
        <v>3.8054508553204236E-3</v>
      </c>
    </row>
    <row r="229" spans="1:7" x14ac:dyDescent="0.25">
      <c r="A229" s="1">
        <v>45987</v>
      </c>
      <c r="B229">
        <v>276.95999999999998</v>
      </c>
      <c r="C229">
        <v>279.52999999999997</v>
      </c>
      <c r="D229">
        <v>276.63</v>
      </c>
      <c r="E229" s="2">
        <v>277.55</v>
      </c>
      <c r="F229">
        <v>33431423</v>
      </c>
      <c r="G229" s="3">
        <f t="shared" si="3"/>
        <v>2.094089612593364E-3</v>
      </c>
    </row>
    <row r="230" spans="1:7" x14ac:dyDescent="0.25">
      <c r="A230" s="1">
        <v>45989</v>
      </c>
      <c r="B230">
        <v>277.26</v>
      </c>
      <c r="C230" t="s">
        <v>2</v>
      </c>
      <c r="D230">
        <v>275.98599999999999</v>
      </c>
      <c r="E230" s="2">
        <v>278.85000000000002</v>
      </c>
      <c r="F230">
        <v>20135620</v>
      </c>
      <c r="G230" s="3">
        <f t="shared" si="3"/>
        <v>4.6838407494145607E-3</v>
      </c>
    </row>
    <row r="231" spans="1:7" x14ac:dyDescent="0.25">
      <c r="A231" s="1">
        <v>45992</v>
      </c>
      <c r="B231">
        <v>278.01</v>
      </c>
      <c r="C231">
        <v>283.42</v>
      </c>
      <c r="D231">
        <v>276.14</v>
      </c>
      <c r="E231" s="2">
        <v>283.10000000000002</v>
      </c>
      <c r="F231">
        <v>46587722</v>
      </c>
      <c r="G231" s="3">
        <f t="shared" si="3"/>
        <v>1.5241169087322932E-2</v>
      </c>
    </row>
    <row r="232" spans="1:7" x14ac:dyDescent="0.25">
      <c r="A232" s="1">
        <v>45993</v>
      </c>
      <c r="B232" t="s">
        <v>3</v>
      </c>
      <c r="C232">
        <v>287.39999999999998</v>
      </c>
      <c r="D232">
        <v>282.63</v>
      </c>
      <c r="E232" s="2">
        <v>286.19</v>
      </c>
      <c r="F232">
        <v>53669532</v>
      </c>
      <c r="G232" s="3">
        <f t="shared" si="3"/>
        <v>1.0914871070293094E-2</v>
      </c>
    </row>
    <row r="233" spans="1:7" x14ac:dyDescent="0.25">
      <c r="A233" s="1">
        <v>45994</v>
      </c>
      <c r="B233">
        <v>286.2</v>
      </c>
      <c r="C233">
        <v>288.62</v>
      </c>
      <c r="D233">
        <v>283.3</v>
      </c>
      <c r="E233" s="2">
        <v>284.14999999999998</v>
      </c>
      <c r="F233">
        <v>43538687</v>
      </c>
      <c r="G233" s="3">
        <f t="shared" si="3"/>
        <v>-7.1281316607848645E-3</v>
      </c>
    </row>
    <row r="234" spans="1:7" x14ac:dyDescent="0.25">
      <c r="A234" s="1">
        <v>45995</v>
      </c>
      <c r="B234">
        <v>284.09500000000003</v>
      </c>
      <c r="C234">
        <v>284.73</v>
      </c>
      <c r="D234">
        <v>278.58999999999997</v>
      </c>
      <c r="E234" s="2">
        <v>280.7</v>
      </c>
      <c r="F234">
        <v>43989056</v>
      </c>
      <c r="G234" s="3">
        <f t="shared" si="3"/>
        <v>-1.2141474573288716E-2</v>
      </c>
    </row>
    <row r="235" spans="1:7" x14ac:dyDescent="0.25">
      <c r="A235" s="1">
        <v>45996</v>
      </c>
      <c r="B235">
        <v>280.54000000000002</v>
      </c>
      <c r="C235">
        <v>281.14</v>
      </c>
      <c r="D235">
        <v>278.05</v>
      </c>
      <c r="E235" s="2">
        <v>278.77999999999997</v>
      </c>
      <c r="F235">
        <v>47265845</v>
      </c>
      <c r="G235" s="3">
        <f t="shared" si="3"/>
        <v>-6.8400427502672461E-3</v>
      </c>
    </row>
    <row r="236" spans="1:7" x14ac:dyDescent="0.25">
      <c r="A236" s="1">
        <v>45999</v>
      </c>
      <c r="B236">
        <v>278.13</v>
      </c>
      <c r="C236">
        <v>279.66899999999998</v>
      </c>
      <c r="D236">
        <v>276.14999999999998</v>
      </c>
      <c r="E236" s="2">
        <v>277.89</v>
      </c>
      <c r="F236">
        <v>38211832</v>
      </c>
      <c r="G236" s="3">
        <f t="shared" si="3"/>
        <v>-3.1924815266517917E-3</v>
      </c>
    </row>
    <row r="237" spans="1:7" x14ac:dyDescent="0.25">
      <c r="A237" s="1">
        <v>46000</v>
      </c>
      <c r="B237">
        <v>278.16000000000003</v>
      </c>
      <c r="C237">
        <v>280.02999999999997</v>
      </c>
      <c r="D237">
        <v>276.92</v>
      </c>
      <c r="E237" s="2">
        <v>277.18</v>
      </c>
      <c r="F237">
        <v>32193256</v>
      </c>
      <c r="G237" s="3">
        <f t="shared" si="3"/>
        <v>-2.5549677930115497E-3</v>
      </c>
    </row>
    <row r="238" spans="1:7" x14ac:dyDescent="0.25">
      <c r="A238" s="1">
        <v>46001</v>
      </c>
      <c r="B238">
        <v>277.75</v>
      </c>
      <c r="C238">
        <v>279.75</v>
      </c>
      <c r="D238">
        <v>276.44</v>
      </c>
      <c r="E238" s="2">
        <v>278.77999999999997</v>
      </c>
      <c r="F238">
        <v>33038318</v>
      </c>
      <c r="G238" s="3">
        <f t="shared" si="3"/>
        <v>5.7724222526876609E-3</v>
      </c>
    </row>
    <row r="239" spans="1:7" x14ac:dyDescent="0.25">
      <c r="A239" s="1">
        <v>46002</v>
      </c>
      <c r="B239">
        <v>279.09500000000003</v>
      </c>
      <c r="C239">
        <v>279.58999999999997</v>
      </c>
      <c r="D239">
        <v>273.81</v>
      </c>
      <c r="E239" s="2">
        <v>278.02999999999997</v>
      </c>
      <c r="F239">
        <v>33247986</v>
      </c>
      <c r="G239" s="3">
        <f t="shared" si="3"/>
        <v>-2.6902934213358207E-3</v>
      </c>
    </row>
    <row r="240" spans="1:7" x14ac:dyDescent="0.25">
      <c r="A240" s="1">
        <v>46003</v>
      </c>
      <c r="B240">
        <v>277.89999999999998</v>
      </c>
      <c r="C240">
        <v>279.22000000000003</v>
      </c>
      <c r="D240">
        <v>276.82</v>
      </c>
      <c r="E240" s="2">
        <v>278.27999999999997</v>
      </c>
      <c r="F240">
        <v>39532887</v>
      </c>
      <c r="G240" s="3">
        <f t="shared" si="3"/>
        <v>8.9918354134445929E-4</v>
      </c>
    </row>
    <row r="241" spans="1:7" x14ac:dyDescent="0.25">
      <c r="A241" s="1">
        <v>46006</v>
      </c>
      <c r="B241">
        <v>280.14999999999998</v>
      </c>
      <c r="C241">
        <v>280.14999999999998</v>
      </c>
      <c r="D241">
        <v>272.83999999999997</v>
      </c>
      <c r="E241" s="2">
        <v>274.11</v>
      </c>
      <c r="F241">
        <v>50409078</v>
      </c>
      <c r="G241" s="3">
        <f t="shared" si="3"/>
        <v>-1.498490728762383E-2</v>
      </c>
    </row>
    <row r="242" spans="1:7" x14ac:dyDescent="0.25">
      <c r="A242" s="1">
        <v>46007</v>
      </c>
      <c r="B242">
        <v>272.82</v>
      </c>
      <c r="C242">
        <v>275.5</v>
      </c>
      <c r="D242">
        <v>271.79000000000002</v>
      </c>
      <c r="E242" s="2">
        <v>274.61</v>
      </c>
      <c r="F242">
        <v>37648628</v>
      </c>
      <c r="G242" s="3">
        <f t="shared" si="3"/>
        <v>1.8240852212615373E-3</v>
      </c>
    </row>
    <row r="243" spans="1:7" x14ac:dyDescent="0.25">
      <c r="A243" s="1">
        <v>46008</v>
      </c>
      <c r="B243">
        <v>275.01</v>
      </c>
      <c r="C243">
        <v>276.16000000000003</v>
      </c>
      <c r="D243">
        <v>271.64</v>
      </c>
      <c r="E243" s="2">
        <v>271.83999999999997</v>
      </c>
      <c r="F243">
        <v>50138743</v>
      </c>
      <c r="G243" s="3">
        <f t="shared" si="3"/>
        <v>-1.0087032518845048E-2</v>
      </c>
    </row>
    <row r="244" spans="1:7" x14ac:dyDescent="0.25">
      <c r="A244" s="1">
        <v>46009</v>
      </c>
      <c r="B244">
        <v>273.60500000000002</v>
      </c>
      <c r="C244">
        <v>273.63</v>
      </c>
      <c r="D244">
        <v>266.95</v>
      </c>
      <c r="E244" s="2">
        <v>272.19</v>
      </c>
      <c r="F244">
        <v>51630721</v>
      </c>
      <c r="G244" s="3">
        <f t="shared" si="3"/>
        <v>1.287522071807029E-3</v>
      </c>
    </row>
    <row r="245" spans="1:7" x14ac:dyDescent="0.25">
      <c r="A245" s="1">
        <v>46010</v>
      </c>
      <c r="B245">
        <v>272.14499999999998</v>
      </c>
      <c r="C245">
        <v>274.60000000000002</v>
      </c>
      <c r="D245">
        <v>269.89999999999998</v>
      </c>
      <c r="E245" s="2">
        <v>273.67</v>
      </c>
      <c r="F245">
        <v>144632048</v>
      </c>
      <c r="G245" s="3">
        <f t="shared" si="3"/>
        <v>5.4373783019215187E-3</v>
      </c>
    </row>
    <row r="246" spans="1:7" x14ac:dyDescent="0.25">
      <c r="A246" s="1">
        <v>46013</v>
      </c>
      <c r="B246">
        <v>272.86</v>
      </c>
      <c r="C246">
        <v>273.88</v>
      </c>
      <c r="D246">
        <v>270.505</v>
      </c>
      <c r="E246" s="2">
        <v>270.97000000000003</v>
      </c>
      <c r="F246">
        <v>36571827</v>
      </c>
      <c r="G246" s="3">
        <f t="shared" si="3"/>
        <v>-9.8658968831073501E-3</v>
      </c>
    </row>
    <row r="247" spans="1:7" x14ac:dyDescent="0.25">
      <c r="A247" s="1">
        <v>46014</v>
      </c>
      <c r="B247">
        <v>270.83999999999997</v>
      </c>
      <c r="C247">
        <v>272.5</v>
      </c>
      <c r="D247">
        <v>269.56</v>
      </c>
      <c r="E247" s="2">
        <v>272.36</v>
      </c>
      <c r="F247">
        <v>29641999</v>
      </c>
      <c r="G247" s="3">
        <f t="shared" si="3"/>
        <v>5.129719157102211E-3</v>
      </c>
    </row>
    <row r="248" spans="1:7" x14ac:dyDescent="0.25">
      <c r="A248" s="1">
        <v>46015</v>
      </c>
      <c r="B248">
        <v>272.33999999999997</v>
      </c>
      <c r="C248">
        <v>275.43</v>
      </c>
      <c r="D248">
        <v>272.19499999999999</v>
      </c>
      <c r="E248" s="2">
        <v>273.81</v>
      </c>
      <c r="F248">
        <v>17910574</v>
      </c>
      <c r="G248" s="3">
        <f t="shared" si="3"/>
        <v>5.323836099280322E-3</v>
      </c>
    </row>
    <row r="249" spans="1:7" x14ac:dyDescent="0.25">
      <c r="A249" s="1">
        <v>46017</v>
      </c>
      <c r="B249">
        <v>274.16000000000003</v>
      </c>
      <c r="C249">
        <v>275.37</v>
      </c>
      <c r="D249">
        <v>272.86</v>
      </c>
      <c r="E249" s="2">
        <v>273.39999999999998</v>
      </c>
      <c r="F249">
        <v>21521802</v>
      </c>
      <c r="G249" s="3">
        <f t="shared" si="3"/>
        <v>-1.4973887001936562E-3</v>
      </c>
    </row>
    <row r="250" spans="1:7" x14ac:dyDescent="0.25">
      <c r="A250" s="1">
        <v>46020</v>
      </c>
      <c r="B250">
        <v>272.69</v>
      </c>
      <c r="C250">
        <v>274.36</v>
      </c>
      <c r="D250">
        <v>272.35000000000002</v>
      </c>
      <c r="E250" s="2">
        <v>273.76</v>
      </c>
      <c r="F250">
        <v>23715213</v>
      </c>
      <c r="G250" s="3">
        <f t="shared" si="3"/>
        <v>1.3167520117045124E-3</v>
      </c>
    </row>
    <row r="251" spans="1:7" x14ac:dyDescent="0.25">
      <c r="A251" s="1">
        <v>46021</v>
      </c>
      <c r="B251">
        <v>272.81</v>
      </c>
      <c r="C251">
        <v>274.08</v>
      </c>
      <c r="D251">
        <v>272.27999999999997</v>
      </c>
      <c r="E251" s="2">
        <v>273.08</v>
      </c>
      <c r="F251">
        <v>22139617</v>
      </c>
      <c r="G251" s="3">
        <f t="shared" si="3"/>
        <v>-2.4839275277615679E-3</v>
      </c>
    </row>
    <row r="252" spans="1:7" x14ac:dyDescent="0.25">
      <c r="A252" s="1">
        <v>46022</v>
      </c>
      <c r="B252">
        <v>273.06</v>
      </c>
      <c r="C252">
        <v>273.68</v>
      </c>
      <c r="D252">
        <v>271.75</v>
      </c>
      <c r="E252" s="2">
        <v>271.86</v>
      </c>
      <c r="F252">
        <v>27293639</v>
      </c>
      <c r="G252" s="3">
        <f t="shared" si="3"/>
        <v>-4.4675552951514959E-3</v>
      </c>
    </row>
  </sheetData>
  <mergeCells count="2">
    <mergeCell ref="H3:K3"/>
    <mergeCell ref="H2:L2"/>
  </mergeCells>
  <pageMargins left="0.7" right="0.7" top="0.75" bottom="0.75" header="0.3" footer="0.3"/>
  <pageSetup paperSize="9" orientation="portrait" r:id="rId1"/>
  <ignoredErrors>
    <ignoredError sqref="G9 G4:G8 G10:G252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21A91-0CAE-49BA-BF5E-0598AC897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Project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Matuszewski</dc:creator>
  <cp:lastModifiedBy>Maciej Matuszewski (193934)</cp:lastModifiedBy>
  <dcterms:created xsi:type="dcterms:W3CDTF">2015-06-05T18:17:20Z</dcterms:created>
  <dcterms:modified xsi:type="dcterms:W3CDTF">2026-06-07T12:33:22Z</dcterms:modified>
</cp:coreProperties>
</file>